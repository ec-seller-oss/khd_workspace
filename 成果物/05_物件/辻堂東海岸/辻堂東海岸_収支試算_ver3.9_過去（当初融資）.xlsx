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6100" yWindow="2380" windowWidth="25400" windowHeight="17200" tabRatio="600" firstSheet="0" activeTab="1" autoFilterDateGrouping="1"/>
  </bookViews>
  <sheets>
    <sheet xmlns:r="http://schemas.openxmlformats.org/officeDocument/2006/relationships" name="①物件情報入力シート" sheetId="1" state="visible" r:id="rId1"/>
    <sheet xmlns:r="http://schemas.openxmlformats.org/officeDocument/2006/relationships" name="②（土地・建物）事業収支シート" sheetId="2" state="visible" r:id="rId2"/>
    <sheet xmlns:r="http://schemas.openxmlformats.org/officeDocument/2006/relationships" name="利回り参考" sheetId="3" state="visible" r:id="rId3"/>
    <sheet xmlns:r="http://schemas.openxmlformats.org/officeDocument/2006/relationships" name="持ち物リスト" sheetId="4" state="visible" r:id="rId4"/>
    <sheet xmlns:r="http://schemas.openxmlformats.org/officeDocument/2006/relationships" name="購入時" sheetId="5" state="visible" r:id="rId5"/>
    <sheet xmlns:r="http://schemas.openxmlformats.org/officeDocument/2006/relationships" name="売却時" sheetId="6" state="visible" r:id="rId6"/>
    <sheet xmlns:r="http://schemas.openxmlformats.org/officeDocument/2006/relationships" name="購入申込書(B&amp;S)" sheetId="7" state="visible" r:id="rId7"/>
    <sheet xmlns:r="http://schemas.openxmlformats.org/officeDocument/2006/relationships" name="不動産購入申込書 (榎本工務店)" sheetId="8" state="visible" r:id="rId8"/>
    <sheet xmlns:r="http://schemas.openxmlformats.org/officeDocument/2006/relationships" name="不動産買付申込書（一藤）" sheetId="9" state="visible" r:id="rId9"/>
    <sheet xmlns:r="http://schemas.openxmlformats.org/officeDocument/2006/relationships" name="買付証明書（フジタケ）" sheetId="10" state="visible" r:id="rId10"/>
    <sheet xmlns:r="http://schemas.openxmlformats.org/officeDocument/2006/relationships" name="買付証明書(オプタプランニング)" sheetId="11" state="visible" r:id="rId11"/>
    <sheet xmlns:r="http://schemas.openxmlformats.org/officeDocument/2006/relationships" name="収支計算シートのルール" sheetId="12" state="visible" r:id="rId12"/>
    <sheet xmlns:r="http://schemas.openxmlformats.org/officeDocument/2006/relationships" name="変更履歴" sheetId="13" state="visible" r:id="rId13"/>
  </sheets>
  <definedNames>
    <definedName name="_xlnm.Print_Area" localSheetId="1">'②（土地・建物）事業収支シート'!$A$1:$L$75</definedName>
    <definedName name="_xlnm.Print_Area" localSheetId="3">'持ち物リスト'!$A$1:$T$53</definedName>
    <definedName name="_xlnm.Print_Area" localSheetId="4">'購入時'!$A$1:$AX$108</definedName>
    <definedName name="_xlnm.Print_Area" localSheetId="5">'売却時'!$A$1:$AX$108</definedName>
    <definedName name="_xlnm.Print_Area" localSheetId="6">'購入申込書(B&amp;S)'!$A$1:$L$25</definedName>
    <definedName name="_xlnm.Print_Area" localSheetId="8">'不動産買付申込書（一藤）'!$A$1:$E$30</definedName>
    <definedName name="_xlnm.Print_Area" localSheetId="9">'買付証明書（フジタケ）'!$A$1:$AG$33</definedName>
    <definedName name="_xlnm.Print_Area" localSheetId="10">'買付証明書(オプタプランニング)'!$A$1:$AG$34</definedName>
  </definedNames>
  <calcPr calcId="191028" fullCalcOnLoad="1"/>
</workbook>
</file>

<file path=xl/styles.xml><?xml version="1.0" encoding="utf-8"?>
<styleSheet xmlns="http://schemas.openxmlformats.org/spreadsheetml/2006/main">
  <numFmts count="32">
    <numFmt numFmtId="164" formatCode="#;\0;0"/>
    <numFmt numFmtId="165" formatCode="#,###&quot;円&quot;"/>
    <numFmt numFmtId="166" formatCode="#,##0.0&quot;坪&quot;"/>
    <numFmt numFmtId="167" formatCode="#,##0.0&quot;㎡&quot;"/>
    <numFmt numFmtId="168" formatCode="#,##0.00&quot;㎡&quot;"/>
    <numFmt numFmtId="169" formatCode="#,##0&quot;円/㎡&quot;"/>
    <numFmt numFmtId="170" formatCode="0.0%"/>
    <numFmt numFmtId="171" formatCode="#%"/>
    <numFmt numFmtId="172" formatCode="#\F"/>
    <numFmt numFmtId="173" formatCode="yyyy/m/d;@"/>
    <numFmt numFmtId="174" formatCode="#,##0&quot;部屋&quot;"/>
    <numFmt numFmtId="175" formatCode="#,##0.0;\-#,##0.0"/>
    <numFmt numFmtId="176" formatCode="#,##0&quot;円/坪&quot;"/>
    <numFmt numFmtId="177" formatCode="&quot;利&quot;&quot;回&quot;&quot;り&quot;0%"/>
    <numFmt numFmtId="178" formatCode="#,##0&quot;円/月&quot;"/>
    <numFmt numFmtId="179" formatCode="#,##0&quot;円&quot;"/>
    <numFmt numFmtId="180" formatCode="&quot;金　&quot;#,##0&quot;　円（税込）&quot;"/>
    <numFmt numFmtId="181" formatCode="yyyy&quot;年&quot;m&quot;月&quot;d&quot;日&quot;;@"/>
    <numFmt numFmtId="182" formatCode="[$-F800]dddd\,\ mmmm\ dd\,\ yyyy"/>
    <numFmt numFmtId="183" formatCode="&quot;¥&quot;#,##0_);[Red]\(&quot;¥&quot;#,##0\)"/>
    <numFmt numFmtId="184" formatCode="#,##0&quot;ヵ月&quot;"/>
    <numFmt numFmtId="185" formatCode="&quot;¥&quot;#,##0;[Red]&quot;¥&quot;\-#,##0"/>
    <numFmt numFmtId="186" formatCode="_ * #,##0.00_ ;_ * \-#,##0.00_ ;_ * &quot;-&quot;?_ ;_ @_ "/>
    <numFmt numFmtId="187" formatCode="#,##0&quot;日間&quot;"/>
    <numFmt numFmtId="188" formatCode="#,###&quot;(消費税分)&quot;"/>
    <numFmt numFmtId="189" formatCode="&quot;¥&quot;#,##0;&quot;¥&quot;\-#,##0"/>
    <numFmt numFmtId="190" formatCode="&quot;金　&quot;#,##0&quot;　円&quot;"/>
    <numFmt numFmtId="191" formatCode="&quot;￥ &quot;#,##0"/>
    <numFmt numFmtId="192" formatCode="@&quot;　御中&quot;"/>
    <numFmt numFmtId="193" formatCode="[$¥-411]#,##0;[$¥-411]#,##0"/>
    <numFmt numFmtId="194" formatCode="0.00_ ;;;@"/>
    <numFmt numFmtId="195" formatCode="#,##0_ "/>
  </numFmts>
  <fonts count="89">
    <font>
      <name val="ＭＳ 明朝"/>
      <charset val="128"/>
      <sz val="12"/>
    </font>
    <font>
      <name val="ＭＳ Ｐゴシック"/>
      <charset val="128"/>
      <family val="2"/>
      <color theme="1"/>
      <sz val="12"/>
      <scheme val="minor"/>
    </font>
    <font>
      <name val="ＭＳ Ｐゴシック"/>
      <charset val="128"/>
      <family val="3"/>
      <sz val="11"/>
    </font>
    <font>
      <name val="ＭＳ 明朝"/>
      <charset val="128"/>
      <family val="1"/>
      <sz val="14"/>
    </font>
    <font>
      <name val="ＭＳ Ｐ明朝"/>
      <charset val="128"/>
      <family val="1"/>
      <sz val="6"/>
    </font>
    <font>
      <name val="ＭＳ 明朝"/>
      <charset val="128"/>
      <family val="1"/>
      <sz val="6"/>
    </font>
    <font>
      <name val="ＭＳ 明朝"/>
      <charset val="128"/>
      <family val="1"/>
      <sz val="6"/>
    </font>
    <font>
      <name val="ＭＳ 明朝"/>
      <charset val="128"/>
      <family val="1"/>
      <sz val="6"/>
    </font>
    <font>
      <name val="ＭＳ Ｐゴシック"/>
      <charset val="128"/>
      <family val="2"/>
      <i val="1"/>
      <color rgb="FF7F7F7F"/>
      <sz val="11"/>
      <scheme val="minor"/>
    </font>
    <font>
      <name val="ＭＳ Ｐゴシック"/>
      <family val="2"/>
      <color theme="1"/>
      <sz val="11"/>
      <scheme val="minor"/>
    </font>
    <font>
      <name val="ＭＳ Ｐゴシック"/>
      <charset val="128"/>
      <family val="3"/>
      <sz val="6"/>
      <scheme val="minor"/>
    </font>
    <font>
      <name val="ＭＳ 明朝"/>
      <charset val="128"/>
      <family val="1"/>
      <color theme="10"/>
      <sz val="12"/>
      <u val="single"/>
    </font>
    <font>
      <name val="ＭＳ Ｐゴシック"/>
      <charset val="128"/>
      <family val="2"/>
      <color theme="1"/>
      <sz val="11"/>
      <scheme val="minor"/>
    </font>
    <font>
      <name val="ＭＳ Ｐゴシック"/>
      <charset val="128"/>
      <family val="2"/>
      <sz val="11"/>
      <scheme val="minor"/>
    </font>
    <font>
      <name val="ＭＳ Ｐゴシック"/>
      <charset val="128"/>
      <family val="2"/>
      <sz val="12"/>
      <scheme val="minor"/>
    </font>
    <font>
      <name val="ＭＳ Ｐゴシック"/>
      <charset val="128"/>
      <family val="2"/>
      <color theme="10"/>
      <sz val="9"/>
      <u val="single"/>
      <scheme val="minor"/>
    </font>
    <font>
      <name val="ＭＳ Ｐゴシック"/>
      <charset val="128"/>
      <family val="2"/>
      <color theme="1"/>
      <sz val="9"/>
      <scheme val="minor"/>
    </font>
    <font>
      <name val="ＭＳ Ｐゴシック"/>
      <charset val="128"/>
      <family val="2"/>
      <color theme="10"/>
      <sz val="11"/>
      <u val="single"/>
      <scheme val="minor"/>
    </font>
    <font>
      <name val="MS P ゴシック"/>
      <charset val="128"/>
      <b val="1"/>
      <color rgb="FF000000"/>
      <sz val="9"/>
    </font>
    <font>
      <name val="MS P ゴシック"/>
      <charset val="128"/>
      <color rgb="FF000000"/>
      <sz val="9"/>
    </font>
    <font>
      <name val="ＭＳ Ｐゴシック"/>
      <charset val="128"/>
      <family val="2"/>
      <b val="1"/>
      <sz val="12"/>
      <scheme val="minor"/>
    </font>
    <font>
      <name val="ＭＳ Ｐゴシック"/>
      <charset val="128"/>
      <family val="2"/>
      <sz val="10"/>
      <scheme val="minor"/>
    </font>
    <font>
      <name val="ＭＳ Ｐゴシック"/>
      <charset val="128"/>
      <family val="2"/>
      <sz val="9"/>
      <scheme val="minor"/>
    </font>
    <font>
      <name val="ＭＳ Ｐゴシック"/>
      <charset val="128"/>
      <family val="2"/>
      <b val="1"/>
      <sz val="10"/>
      <scheme val="minor"/>
    </font>
    <font>
      <name val="ＭＳ Ｐゴシック"/>
      <charset val="128"/>
      <family val="2"/>
      <b val="1"/>
      <sz val="9"/>
      <scheme val="minor"/>
    </font>
    <font>
      <name val="ＭＳ Ｐゴシック"/>
      <charset val="128"/>
      <family val="2"/>
      <sz val="8"/>
      <scheme val="minor"/>
    </font>
    <font>
      <name val="ＭＳ Ｐゴシック"/>
      <charset val="128"/>
      <family val="2"/>
      <color indexed="12"/>
      <sz val="9"/>
      <scheme val="minor"/>
    </font>
    <font>
      <name val="Yu Gothic UI"/>
      <b val="1"/>
      <color rgb="FF000000"/>
      <sz val="10"/>
    </font>
    <font>
      <name val="ＭＳ Ｐゴシック"/>
      <charset val="128"/>
      <family val="2"/>
      <color rgb="FF000000"/>
      <sz val="12"/>
      <scheme val="minor"/>
    </font>
    <font>
      <name val="ＭＳ 明朝"/>
      <charset val="128"/>
      <family val="1"/>
      <b val="1"/>
      <color rgb="FF000000"/>
      <sz val="10"/>
    </font>
    <font>
      <name val="ＭＳ 明朝"/>
      <charset val="128"/>
      <family val="1"/>
      <color rgb="FF000000"/>
      <sz val="10"/>
    </font>
    <font>
      <name val="ＭＳ Ｐゴシック"/>
      <charset val="128"/>
      <family val="2"/>
      <color rgb="FF2222FF"/>
      <sz val="11"/>
      <u val="single"/>
      <scheme val="minor"/>
    </font>
    <font>
      <name val="ＭＳ 明朝"/>
      <charset val="128"/>
      <family val="1"/>
      <sz val="12"/>
    </font>
    <font>
      <name val="ＭＳ Ｐゴシック"/>
      <charset val="128"/>
      <family val="3"/>
      <color theme="0" tint="-0.499984740745262"/>
      <sz val="10"/>
      <scheme val="minor"/>
    </font>
    <font>
      <name val="ＭＳ Ｐゴシック"/>
      <charset val="128"/>
      <family val="3"/>
      <sz val="14"/>
      <scheme val="minor"/>
    </font>
    <font>
      <name val="ＭＳ Ｐゴシック"/>
      <charset val="128"/>
      <family val="3"/>
      <sz val="11"/>
      <scheme val="minor"/>
    </font>
    <font>
      <name val="ＭＳ Ｐゴシック"/>
      <charset val="128"/>
      <family val="3"/>
      <b val="1"/>
      <sz val="36"/>
      <scheme val="minor"/>
    </font>
    <font>
      <name val="HGP明朝B"/>
      <charset val="128"/>
      <family val="1"/>
      <sz val="14"/>
    </font>
    <font>
      <name val="ＭＳ Ｐゴシック"/>
      <charset val="128"/>
      <family val="2"/>
      <sz val="6"/>
      <scheme val="minor"/>
    </font>
    <font>
      <name val="ＭＳ Ｐゴシック"/>
      <charset val="128"/>
      <family val="3"/>
      <color theme="1"/>
      <sz val="14"/>
      <scheme val="minor"/>
    </font>
    <font>
      <name val="ＭＳ Ｐゴシック"/>
      <charset val="128"/>
      <family val="3"/>
      <b val="1"/>
      <color theme="1"/>
      <sz val="36"/>
      <scheme val="minor"/>
    </font>
    <font>
      <name val="ＭＳ Ｐゴシック"/>
      <charset val="128"/>
      <family val="3"/>
      <b val="1"/>
      <color theme="1"/>
      <sz val="24"/>
      <scheme val="minor"/>
    </font>
    <font>
      <name val="ＭＳ Ｐゴシック"/>
      <charset val="128"/>
      <family val="3"/>
      <sz val="6"/>
    </font>
    <font>
      <name val="ＭＳ Ｐゴシック"/>
      <charset val="128"/>
      <family val="3"/>
      <b val="1"/>
      <color theme="1"/>
      <sz val="14"/>
      <scheme val="minor"/>
    </font>
    <font>
      <name val="HGP明朝B"/>
      <charset val="128"/>
      <family val="1"/>
      <color theme="1"/>
      <sz val="14"/>
    </font>
    <font>
      <name val="ＭＳ Ｐゴシック"/>
      <charset val="128"/>
      <family val="2"/>
      <color theme="1"/>
      <sz val="14"/>
      <scheme val="minor"/>
    </font>
    <font>
      <name val="ＭＳ Ｐゴシック"/>
      <charset val="128"/>
      <family val="3"/>
      <color theme="1"/>
      <sz val="14"/>
      <scheme val="major"/>
    </font>
    <font>
      <name val="ＭＳ Ｐゴシック"/>
      <charset val="128"/>
      <family val="3"/>
      <color rgb="FF000000"/>
      <sz val="14"/>
      <scheme val="minor"/>
    </font>
    <font>
      <name val="ＭＳ Ｐゴシック"/>
      <charset val="128"/>
      <family val="3"/>
      <color theme="1"/>
      <sz val="11"/>
      <scheme val="minor"/>
    </font>
    <font>
      <name val="ＭＳ Ｐゴシック"/>
      <charset val="128"/>
      <family val="3"/>
      <sz val="18"/>
      <scheme val="minor"/>
    </font>
    <font>
      <name val="ＭＳ Ｐゴシック"/>
      <charset val="128"/>
      <family val="2"/>
      <sz val="14"/>
      <scheme val="minor"/>
    </font>
    <font>
      <name val="HGP明朝B"/>
      <charset val="128"/>
      <family val="1"/>
      <color theme="1"/>
      <sz val="11"/>
    </font>
    <font>
      <name val="ＭＳ Ｐゴシック"/>
      <charset val="128"/>
      <family val="3"/>
      <b val="1"/>
      <color indexed="81"/>
      <sz val="9"/>
    </font>
    <font>
      <name val="ＭＳ Ｐゴシック"/>
      <charset val="128"/>
      <family val="2"/>
      <b val="1"/>
      <color rgb="FF000000"/>
      <sz val="9"/>
    </font>
    <font>
      <name val="ＭＳ Ｐゴシック"/>
      <charset val="128"/>
      <family val="3"/>
      <color theme="1"/>
      <sz val="16"/>
      <scheme val="minor"/>
    </font>
    <font>
      <name val="ＭＳ Ｐゴシック"/>
      <charset val="128"/>
      <family val="3"/>
      <color theme="1"/>
      <sz val="10.5"/>
      <scheme val="minor"/>
    </font>
    <font>
      <name val="ＭＳ Ｐゴシック"/>
      <charset val="128"/>
      <family val="3"/>
      <color theme="0" tint="-0.3499862666707358"/>
      <sz val="10.5"/>
      <scheme val="minor"/>
    </font>
    <font>
      <name val="ＭＳ Ｐゴシック"/>
      <charset val="128"/>
      <family val="2"/>
      <color theme="1"/>
      <sz val="10.5"/>
      <scheme val="minor"/>
    </font>
    <font>
      <name val="ＭＳ Ｐゴシック"/>
      <charset val="128"/>
      <family val="3"/>
      <b val="1"/>
      <color theme="1"/>
      <sz val="10.5"/>
      <scheme val="minor"/>
    </font>
    <font>
      <name val="HG正楷書体-PRO"/>
      <charset val="128"/>
      <family val="4"/>
      <b val="1"/>
      <sz val="16"/>
    </font>
    <font>
      <name val="HG正楷書体-PRO"/>
      <charset val="128"/>
      <family val="4"/>
      <sz val="11"/>
    </font>
    <font>
      <name val="HG正楷書体-PRO"/>
      <charset val="128"/>
      <family val="4"/>
      <sz val="14"/>
    </font>
    <font>
      <name val="ＭＳ 明朝"/>
      <charset val="128"/>
      <family val="1"/>
      <sz val="11"/>
    </font>
    <font>
      <name val="ＭＳ Ｐゴシック"/>
      <charset val="128"/>
      <family val="2"/>
      <sz val="11"/>
    </font>
    <font>
      <name val="ＭＳ Ｐゴシック"/>
      <charset val="128"/>
      <family val="2"/>
      <sz val="24"/>
      <scheme val="minor"/>
    </font>
    <font>
      <name val="ＭＳ Ｐゴシック"/>
      <charset val="128"/>
      <family val="2"/>
      <color rgb="FF333333"/>
      <sz val="11"/>
      <scheme val="minor"/>
    </font>
    <font>
      <name val="ＭＳ Ｐゴシック"/>
      <charset val="128"/>
      <family val="2"/>
      <sz val="16"/>
      <scheme val="minor"/>
    </font>
    <font>
      <name val="ヒラギノ角ゴ Pro W3"/>
      <charset val="128"/>
      <family val="3"/>
      <sz val="24"/>
    </font>
    <font>
      <name val="ヒラギノ角ゴ Pro W3"/>
      <charset val="128"/>
      <sz val="24"/>
    </font>
    <font>
      <name val="ヒラギノ角ゴ Pro W3"/>
      <charset val="128"/>
      <sz val="11"/>
    </font>
    <font>
      <name val="ヒラギノ角ゴ Pro W3"/>
      <charset val="128"/>
      <color rgb="FF333333"/>
      <sz val="11"/>
    </font>
    <font>
      <name val="ヒラギノ角ゴ Pro W3"/>
      <charset val="128"/>
      <sz val="16"/>
    </font>
    <font>
      <name val="MS P ゴシック"/>
      <charset val="128"/>
      <b val="1"/>
      <color rgb="FF000000"/>
      <sz val="10"/>
    </font>
    <font>
      <name val="ＭＳ ゴシック"/>
      <charset val="128"/>
      <family val="2"/>
      <b val="1"/>
      <sz val="20"/>
    </font>
    <font>
      <name val="ＭＳ ゴシック"/>
      <charset val="128"/>
      <family val="2"/>
      <b val="1"/>
      <sz val="11"/>
    </font>
    <font>
      <name val="ＭＳ ゴシック"/>
      <charset val="128"/>
      <family val="2"/>
      <sz val="11"/>
    </font>
    <font>
      <name val="ＭＳ ゴシック"/>
      <charset val="128"/>
      <family val="2"/>
      <b val="1"/>
      <sz val="12"/>
    </font>
    <font>
      <name val="ＭＳ ゴシック"/>
      <charset val="128"/>
      <family val="2"/>
      <b val="1"/>
      <sz val="16"/>
    </font>
    <font>
      <name val="ＭＳ ゴシック"/>
      <charset val="128"/>
      <family val="2"/>
      <b val="1"/>
      <sz val="14"/>
    </font>
    <font>
      <name val="ＭＳ ゴシック"/>
      <charset val="128"/>
      <family val="2"/>
      <color rgb="FF000000"/>
      <sz val="11"/>
    </font>
    <font>
      <name val="ＭＳ ゴシック"/>
      <charset val="128"/>
      <family val="2"/>
      <sz val="9"/>
    </font>
    <font>
      <name val="ＭＳ ゴシック"/>
      <charset val="128"/>
      <family val="2"/>
      <sz val="10"/>
    </font>
    <font>
      <name val="ＭＳ ゴシック"/>
      <charset val="128"/>
      <family val="2"/>
      <b val="1"/>
      <sz val="10"/>
    </font>
    <font>
      <name val="ＭＳ Ｐゴシック"/>
      <charset val="128"/>
      <family val="2"/>
      <color theme="1"/>
      <sz val="18"/>
      <scheme val="minor"/>
    </font>
    <font>
      <name val="ＭＳ Ｐゴシック"/>
      <charset val="128"/>
      <family val="2"/>
      <b val="1"/>
      <color theme="1"/>
      <sz val="18"/>
      <scheme val="minor"/>
    </font>
    <font>
      <name val="ＭＳ Ｐゴシック"/>
      <charset val="128"/>
      <family val="2"/>
      <b val="1"/>
      <color theme="1"/>
      <sz val="16"/>
      <scheme val="minor"/>
    </font>
    <font>
      <name val="ＭＳ Ｐゴシック"/>
      <charset val="128"/>
      <family val="2"/>
      <color rgb="FFA0A0A0"/>
      <sz val="10"/>
      <scheme val="minor"/>
    </font>
    <font>
      <name val="ＭＳ Ｐゴシック"/>
      <charset val="128"/>
      <family val="2"/>
      <color rgb="FFA0A0A0"/>
      <sz val="9"/>
      <scheme val="minor"/>
    </font>
    <font>
      <name val="Yu Gothic UI"/>
      <color rgb="FF000000"/>
      <sz val="10"/>
    </font>
  </fonts>
  <fills count="21">
    <fill>
      <patternFill/>
    </fill>
    <fill>
      <patternFill patternType="gray125"/>
    </fill>
    <fill>
      <patternFill patternType="solid">
        <fgColor indexed="44"/>
        <bgColor indexed="8"/>
      </patternFill>
    </fill>
    <fill>
      <patternFill patternType="solid">
        <fgColor indexed="9"/>
        <bgColor indexed="9"/>
      </patternFill>
    </fill>
    <fill>
      <patternFill patternType="solid">
        <fgColor indexed="44"/>
        <bgColor indexed="64"/>
      </patternFill>
    </fill>
    <fill>
      <patternFill patternType="solid">
        <fgColor rgb="FFFFFF00"/>
        <bgColor indexed="64"/>
      </patternFill>
    </fill>
    <fill>
      <patternFill patternType="solid">
        <fgColor theme="9" tint="0.7999816888943144"/>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0" tint="-0.1499984740745262"/>
        <bgColor indexed="64"/>
      </patternFill>
    </fill>
    <fill>
      <patternFill patternType="solid">
        <fgColor rgb="FFFFFFCC"/>
        <bgColor indexed="64"/>
      </patternFill>
    </fill>
    <fill>
      <patternFill patternType="solid">
        <fgColor rgb="FF99CCFF"/>
        <bgColor indexed="64"/>
      </patternFill>
    </fill>
    <fill>
      <patternFill patternType="solid">
        <fgColor theme="0" tint="-0.249977111117893"/>
        <bgColor indexed="64"/>
      </patternFill>
    </fill>
    <fill>
      <patternFill patternType="solid">
        <fgColor theme="9" tint="0.5999938962981048"/>
        <bgColor indexed="64"/>
      </patternFill>
    </fill>
    <fill>
      <patternFill patternType="solid">
        <fgColor theme="8" tint="0.5999938962981048"/>
        <bgColor indexed="64"/>
      </patternFill>
    </fill>
    <fill>
      <patternFill patternType="solid">
        <fgColor theme="7" tint="0.5999938962981048"/>
        <bgColor indexed="64"/>
      </patternFill>
    </fill>
    <fill>
      <patternFill patternType="solid">
        <fgColor theme="0"/>
        <bgColor indexed="64"/>
      </patternFill>
    </fill>
    <fill>
      <patternFill patternType="solid">
        <fgColor rgb="FFFF99CC"/>
        <bgColor indexed="64"/>
      </patternFill>
    </fill>
    <fill>
      <patternFill patternType="solid">
        <fgColor rgb="FFCCFFFF"/>
        <bgColor indexed="64"/>
      </patternFill>
    </fill>
    <fill>
      <patternFill patternType="solid">
        <fgColor rgb="FFCCFFFF"/>
        <bgColor rgb="FF000000"/>
      </patternFill>
    </fill>
    <fill>
      <patternFill patternType="solid">
        <fgColor rgb="FFFFFF66"/>
        <bgColor indexed="64"/>
      </patternFill>
    </fill>
  </fills>
  <borders count="168">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medium">
        <color indexed="64"/>
      </top>
      <bottom style="medium">
        <color indexed="64"/>
      </bottom>
      <diagonal/>
    </border>
    <border>
      <left/>
      <right/>
      <top style="medium">
        <color indexed="64"/>
      </top>
      <bottom style="hair">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medium">
        <color indexed="64"/>
      </top>
      <bottom style="medium">
        <color indexed="64"/>
      </bottom>
      <diagonal/>
    </border>
    <border>
      <left/>
      <right style="medium">
        <color indexed="64"/>
      </right>
      <top style="hair">
        <color indexed="64"/>
      </top>
      <bottom style="hair">
        <color indexed="64"/>
      </bottom>
      <diagonal/>
    </border>
    <border>
      <left/>
      <right style="medium">
        <color indexed="64"/>
      </right>
      <top style="medium">
        <color indexed="64"/>
      </top>
      <bottom style="thin">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style="hair">
        <color indexed="64"/>
      </top>
      <bottom style="hair">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medium">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top style="hair">
        <color indexed="64"/>
      </top>
      <bottom style="medium">
        <color indexed="64"/>
      </bottom>
      <diagonal/>
    </border>
    <border>
      <left/>
      <right style="medium">
        <color indexed="64"/>
      </right>
      <top style="hair">
        <color indexed="64"/>
      </top>
      <bottom style="medium">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auto="1"/>
      </left>
      <right/>
      <top style="medium">
        <color auto="1"/>
      </top>
      <bottom style="thin">
        <color indexed="64"/>
      </bottom>
      <diagonal/>
    </border>
    <border>
      <left style="medium">
        <color indexed="64"/>
      </left>
      <right/>
      <top style="hair">
        <color indexed="64"/>
      </top>
      <bottom/>
      <diagonal/>
    </border>
    <border>
      <left/>
      <right style="medium">
        <color indexed="64"/>
      </right>
      <top style="hair">
        <color indexed="64"/>
      </top>
      <bottom/>
      <diagonal/>
    </border>
    <border>
      <left style="medium">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medium">
        <color indexed="64"/>
      </right>
      <top style="thin">
        <color indexed="64"/>
      </top>
      <bottom style="thin">
        <color indexed="64"/>
      </bottom>
      <diagonal/>
    </border>
    <border>
      <left/>
      <right/>
      <top style="hair">
        <color indexed="64"/>
      </top>
      <bottom style="medium">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medium">
        <color indexed="64"/>
      </top>
      <bottom style="hair">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style="medium">
        <color indexed="64"/>
      </left>
      <right style="thin">
        <color indexed="64"/>
      </right>
      <top style="hair">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medium">
        <color indexed="64"/>
      </left>
      <right style="medium">
        <color indexed="64"/>
      </right>
      <top/>
      <bottom/>
      <diagonal/>
    </border>
    <border>
      <left style="thin">
        <color indexed="64"/>
      </left>
      <right/>
      <top/>
      <bottom style="hair">
        <color indexed="64"/>
      </bottom>
      <diagonal/>
    </border>
    <border>
      <left/>
      <right/>
      <top/>
      <bottom style="hair">
        <color indexed="64"/>
      </bottom>
      <diagonal/>
    </border>
    <border>
      <left style="thin">
        <color indexed="64"/>
      </left>
      <right/>
      <top style="medium">
        <color indexed="64"/>
      </top>
      <bottom/>
      <diagonal/>
    </border>
    <border>
      <left/>
      <right style="medium">
        <color indexed="64"/>
      </right>
      <top style="medium">
        <color indexed="64"/>
      </top>
      <bottom style="hair">
        <color indexed="64"/>
      </bottom>
      <diagonal/>
    </border>
    <border>
      <left style="medium">
        <color indexed="64"/>
      </left>
      <right style="thin">
        <color indexed="64"/>
      </right>
      <top/>
      <bottom style="medium">
        <color indexed="64"/>
      </bottom>
      <diagonal/>
    </border>
    <border>
      <left style="medium">
        <color indexed="64"/>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indexed="64"/>
      </right>
      <top style="hair">
        <color auto="1"/>
      </top>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auto="1"/>
      </left>
      <right/>
      <top style="thin">
        <color auto="1"/>
      </top>
      <bottom style="hair">
        <color auto="1"/>
      </bottom>
      <diagonal/>
    </border>
    <border>
      <left/>
      <right style="hair">
        <color auto="1"/>
      </right>
      <top style="thin">
        <color auto="1"/>
      </top>
      <bottom style="hair">
        <color auto="1"/>
      </bottom>
      <diagonal/>
    </border>
    <border>
      <left style="hair">
        <color auto="1"/>
      </left>
      <right/>
      <top style="hair">
        <color auto="1"/>
      </top>
      <bottom style="thin">
        <color auto="1"/>
      </bottom>
      <diagonal/>
    </border>
    <border>
      <left/>
      <right style="hair">
        <color auto="1"/>
      </right>
      <top style="hair">
        <color auto="1"/>
      </top>
      <bottom style="thin">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right style="hair">
        <color indexed="64"/>
      </right>
      <top style="thin">
        <color auto="1"/>
      </top>
      <bottom/>
      <diagonal/>
    </border>
    <border>
      <left/>
      <right style="hair">
        <color indexed="64"/>
      </right>
      <top/>
      <bottom style="thin">
        <color auto="1"/>
      </bottom>
      <diagonal/>
    </border>
    <border>
      <left style="double">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thin">
        <color indexed="64"/>
      </bottom>
      <diagonal/>
    </border>
    <border>
      <left/>
      <right style="double">
        <color indexed="64"/>
      </right>
      <top style="thin">
        <color indexed="64"/>
      </top>
      <bottom style="thin">
        <color indexed="64"/>
      </bottom>
      <diagonal/>
    </border>
    <border>
      <left style="double">
        <color indexed="64"/>
      </left>
      <right/>
      <top style="thin">
        <color indexed="64"/>
      </top>
      <bottom/>
      <diagonal/>
    </border>
    <border>
      <left/>
      <right style="double">
        <color indexed="64"/>
      </right>
      <top/>
      <bottom/>
      <diagonal/>
    </border>
    <border>
      <left style="double">
        <color indexed="64"/>
      </left>
      <right/>
      <top/>
      <bottom/>
      <diagonal/>
    </border>
    <border>
      <left style="thin">
        <color indexed="64"/>
      </left>
      <right style="double">
        <color indexed="64"/>
      </right>
      <top style="thin">
        <color indexed="64"/>
      </top>
      <bottom style="thin">
        <color indexed="64"/>
      </bottom>
      <diagonal/>
    </border>
    <border>
      <left style="double">
        <color indexed="64"/>
      </left>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medium">
        <color indexed="64"/>
      </right>
      <top/>
      <bottom style="hair">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hair">
        <color indexed="64"/>
      </top>
      <bottom/>
      <diagonal/>
    </border>
    <border>
      <left/>
      <right/>
      <top style="hair">
        <color indexed="64"/>
      </top>
      <bottom/>
      <diagonal/>
    </border>
    <border>
      <left style="thin">
        <color indexed="64"/>
      </left>
      <right style="thin">
        <color indexed="64"/>
      </right>
      <top style="hair">
        <color indexed="64"/>
      </top>
      <bottom/>
      <diagonal/>
    </border>
    <border>
      <left style="medium">
        <color auto="1"/>
      </left>
      <right style="medium">
        <color indexed="64"/>
      </right>
      <top style="medium">
        <color auto="1"/>
      </top>
      <bottom style="thin">
        <color indexed="64"/>
      </bottom>
      <diagonal/>
    </border>
    <border>
      <left/>
      <right/>
      <top style="medium">
        <color auto="1"/>
      </top>
      <bottom/>
      <diagonal/>
    </border>
    <border>
      <left/>
      <right style="medium">
        <color indexed="64"/>
      </right>
      <top style="medium">
        <color auto="1"/>
      </top>
      <bottom/>
      <diagonal/>
    </border>
    <border>
      <left/>
      <right style="medium">
        <color indexed="64"/>
      </right>
      <top style="medium">
        <color auto="1"/>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hair">
        <color indexed="64"/>
      </top>
      <bottom/>
      <diagonal/>
    </border>
    <border>
      <left/>
      <right style="thin">
        <color indexed="64"/>
      </right>
      <top style="hair">
        <color indexed="64"/>
      </top>
      <bottom/>
      <diagonal/>
    </border>
    <border>
      <left/>
      <right/>
      <top style="thin">
        <color auto="1"/>
      </top>
      <bottom/>
      <diagonal/>
    </border>
    <border>
      <left style="thin">
        <color auto="1"/>
      </left>
      <right/>
      <top/>
      <bottom/>
      <diagonal/>
    </border>
    <border>
      <left/>
      <right style="hair">
        <color auto="1"/>
      </right>
      <top style="thin">
        <color auto="1"/>
      </top>
      <bottom/>
      <diagonal/>
    </border>
    <border>
      <left/>
      <right style="hair">
        <color auto="1"/>
      </right>
      <top/>
      <bottom/>
      <diagonal/>
    </border>
    <border>
      <left style="thin">
        <color auto="1"/>
      </left>
      <right/>
      <top/>
      <bottom style="hair">
        <color auto="1"/>
      </bottom>
      <diagonal/>
    </border>
    <border>
      <left/>
      <right/>
      <top/>
      <bottom style="hair">
        <color auto="1"/>
      </bottom>
      <diagonal/>
    </border>
    <border>
      <left/>
      <right style="hair">
        <color auto="1"/>
      </right>
      <top/>
      <bottom style="hair">
        <color auto="1"/>
      </bottom>
      <diagonal/>
    </border>
    <border>
      <left style="thin">
        <color indexed="64"/>
      </left>
      <right style="hair">
        <color indexed="64"/>
      </right>
      <top style="thin">
        <color indexed="64"/>
      </top>
      <bottom style="thin">
        <color auto="1"/>
      </bottom>
      <diagonal/>
    </border>
    <border>
      <left/>
      <right style="hair">
        <color indexed="64"/>
      </right>
      <top style="thin">
        <color indexed="64"/>
      </top>
      <bottom/>
      <diagonal/>
    </border>
    <border>
      <left/>
      <right style="hair">
        <color indexed="64"/>
      </right>
      <top/>
      <bottom/>
      <diagonal/>
    </border>
    <border>
      <left style="thin">
        <color indexed="64"/>
      </left>
      <right/>
      <top/>
      <bottom style="thin">
        <color auto="1"/>
      </bottom>
      <diagonal/>
    </border>
    <border>
      <left/>
      <right/>
      <top/>
      <bottom style="thin">
        <color auto="1"/>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style="double">
        <color indexed="64"/>
      </right>
      <top/>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style="double">
        <color indexed="64"/>
      </right>
      <top style="thin">
        <color indexed="64"/>
      </top>
      <bottom style="double">
        <color indexed="64"/>
      </bottom>
      <diagonal/>
    </border>
    <border>
      <left/>
      <right style="double">
        <color indexed="64"/>
      </right>
      <top style="thin">
        <color indexed="64"/>
      </top>
      <bottom/>
      <diagonal/>
    </border>
  </borders>
  <cellStyleXfs count="19">
    <xf numFmtId="0" fontId="0" fillId="0" borderId="0"/>
    <xf numFmtId="9" fontId="2" fillId="0" borderId="0"/>
    <xf numFmtId="38" fontId="2" fillId="0" borderId="0"/>
    <xf numFmtId="6" fontId="2" fillId="0" borderId="0"/>
    <xf numFmtId="0" fontId="3" fillId="0" borderId="0"/>
    <xf numFmtId="0" fontId="9" fillId="0" borderId="0"/>
    <xf numFmtId="38" fontId="9" fillId="0" borderId="0" applyAlignment="1">
      <alignment vertical="center"/>
    </xf>
    <xf numFmtId="9" fontId="9" fillId="0" borderId="0" applyAlignment="1">
      <alignment vertical="center"/>
    </xf>
    <xf numFmtId="0" fontId="11" fillId="0" borderId="0"/>
    <xf numFmtId="0" fontId="12" fillId="0" borderId="0" applyAlignment="1">
      <alignment vertical="center"/>
    </xf>
    <xf numFmtId="38" fontId="12" fillId="0" borderId="0" applyAlignment="1">
      <alignment vertical="center"/>
    </xf>
    <xf numFmtId="0" fontId="2" fillId="0" borderId="0" applyAlignment="1">
      <alignment vertical="center"/>
    </xf>
    <xf numFmtId="0" fontId="12" fillId="0" borderId="0" applyAlignment="1">
      <alignment vertical="center"/>
    </xf>
    <xf numFmtId="38" fontId="12" fillId="0" borderId="0" applyAlignment="1">
      <alignment vertical="center"/>
    </xf>
    <xf numFmtId="0" fontId="32" fillId="0" borderId="0"/>
    <xf numFmtId="0" fontId="62" fillId="0" borderId="0" applyAlignment="1">
      <alignment vertical="center"/>
    </xf>
    <xf numFmtId="0" fontId="2" fillId="0" borderId="0"/>
    <xf numFmtId="0" fontId="63" fillId="0" borderId="0"/>
    <xf numFmtId="0" fontId="1" fillId="0" borderId="0" applyAlignment="1">
      <alignment vertical="center"/>
    </xf>
  </cellStyleXfs>
  <cellXfs count="1167">
    <xf numFmtId="0" fontId="0" fillId="0" borderId="0" pivotButton="0" quotePrefix="0" xfId="0"/>
    <xf numFmtId="0" fontId="12" fillId="0" borderId="0" pivotButton="0" quotePrefix="0" xfId="5"/>
    <xf numFmtId="0" fontId="12" fillId="9" borderId="0" pivotButton="0" quotePrefix="0" xfId="5"/>
    <xf numFmtId="0" fontId="12" fillId="0" borderId="0" applyAlignment="1" pivotButton="0" quotePrefix="0" xfId="5">
      <alignment shrinkToFit="1"/>
    </xf>
    <xf numFmtId="38" fontId="14" fillId="0" borderId="0" pivotButton="0" quotePrefix="0" xfId="6"/>
    <xf numFmtId="2" fontId="12" fillId="9" borderId="7" pivotButton="0" quotePrefix="0" xfId="5"/>
    <xf numFmtId="0" fontId="12" fillId="9" borderId="2" pivotButton="0" quotePrefix="0" xfId="5"/>
    <xf numFmtId="0" fontId="12" fillId="9" borderId="3" pivotButton="0" quotePrefix="0" xfId="5"/>
    <xf numFmtId="0" fontId="12" fillId="9" borderId="18" pivotButton="0" quotePrefix="0" xfId="5"/>
    <xf numFmtId="164" fontId="12" fillId="9" borderId="15" pivotButton="0" quotePrefix="0" xfId="5"/>
    <xf numFmtId="0" fontId="12" fillId="9" borderId="7" pivotButton="0" quotePrefix="0" xfId="5"/>
    <xf numFmtId="38" fontId="14" fillId="9" borderId="2" pivotButton="0" quotePrefix="0" xfId="6"/>
    <xf numFmtId="0" fontId="12" fillId="0" borderId="0" applyAlignment="1" pivotButton="0" quotePrefix="0" xfId="5">
      <alignment horizontal="center"/>
    </xf>
    <xf numFmtId="9" fontId="14" fillId="0" borderId="0" pivotButton="0" quotePrefix="0" xfId="7"/>
    <xf numFmtId="38" fontId="12" fillId="0" borderId="0" pivotButton="0" quotePrefix="0" xfId="2"/>
    <xf numFmtId="0" fontId="16" fillId="0" borderId="0" pivotButton="0" quotePrefix="0" xfId="5"/>
    <xf numFmtId="0" fontId="12" fillId="0" borderId="0" applyAlignment="1" pivotButton="0" quotePrefix="0" xfId="5">
      <alignment horizontal="left"/>
    </xf>
    <xf numFmtId="0" fontId="12" fillId="0" borderId="0" applyAlignment="1" pivotButton="0" quotePrefix="0" xfId="5">
      <alignment horizontal="right" shrinkToFit="1"/>
    </xf>
    <xf numFmtId="0" fontId="12" fillId="0" borderId="0" applyAlignment="1" pivotButton="0" quotePrefix="0" xfId="5">
      <alignment horizontal="right"/>
    </xf>
    <xf numFmtId="0" fontId="12" fillId="9" borderId="2" applyAlignment="1" pivotButton="0" quotePrefix="0" xfId="5">
      <alignment horizontal="right"/>
    </xf>
    <xf numFmtId="2" fontId="12" fillId="9" borderId="2" applyAlignment="1" pivotButton="0" quotePrefix="0" xfId="5">
      <alignment horizontal="right"/>
    </xf>
    <xf numFmtId="38" fontId="14" fillId="9" borderId="2" pivotButton="0" quotePrefix="0" xfId="2"/>
    <xf numFmtId="38" fontId="12" fillId="9" borderId="2" pivotButton="0" quotePrefix="0" xfId="5"/>
    <xf numFmtId="38" fontId="12" fillId="9" borderId="2" applyAlignment="1" pivotButton="0" quotePrefix="0" xfId="2">
      <alignment shrinkToFit="1"/>
    </xf>
    <xf numFmtId="0" fontId="12" fillId="9" borderId="12" applyAlignment="1" pivotButton="0" quotePrefix="0" xfId="5">
      <alignment horizontal="left"/>
    </xf>
    <xf numFmtId="0" fontId="12" fillId="0" borderId="0" applyAlignment="1" pivotButton="0" quotePrefix="0" xfId="5">
      <alignment vertical="center" shrinkToFit="1"/>
    </xf>
    <xf numFmtId="38" fontId="12" fillId="10" borderId="0" pivotButton="0" quotePrefix="0" xfId="2"/>
    <xf numFmtId="9" fontId="13" fillId="9" borderId="2" pivotButton="0" quotePrefix="0" xfId="7"/>
    <xf numFmtId="0" fontId="20" fillId="0" borderId="1" applyAlignment="1" applyProtection="1" pivotButton="0" quotePrefix="0" xfId="0">
      <alignment horizontal="left" vertical="center"/>
      <protection locked="0" hidden="0"/>
    </xf>
    <xf numFmtId="0" fontId="21" fillId="0" borderId="1" applyAlignment="1" applyProtection="1" pivotButton="0" quotePrefix="0" xfId="0">
      <alignment vertical="center"/>
      <protection locked="0" hidden="0"/>
    </xf>
    <xf numFmtId="14" fontId="21" fillId="0" borderId="1"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21" fillId="10" borderId="2" applyAlignment="1" applyProtection="1" pivotButton="0" quotePrefix="0" xfId="0">
      <alignment horizontal="center" vertical="center"/>
      <protection locked="0" hidden="0"/>
    </xf>
    <xf numFmtId="0" fontId="21" fillId="0" borderId="2" applyAlignment="1" applyProtection="1" pivotButton="0" quotePrefix="0" xfId="0">
      <alignment horizontal="center" vertical="center"/>
      <protection locked="0" hidden="0"/>
    </xf>
    <xf numFmtId="0" fontId="22" fillId="0" borderId="0" applyAlignment="1" applyProtection="1" pivotButton="0" quotePrefix="0" xfId="0">
      <alignment vertical="center"/>
      <protection locked="0" hidden="0"/>
    </xf>
    <xf numFmtId="0" fontId="23" fillId="0" borderId="2" applyAlignment="1" pivotButton="0" quotePrefix="0" xfId="0">
      <alignment horizontal="center" vertical="center"/>
    </xf>
    <xf numFmtId="0" fontId="24" fillId="0" borderId="0" applyAlignment="1" applyProtection="1" pivotButton="0" quotePrefix="0" xfId="0">
      <alignment horizontal="left" vertical="center"/>
      <protection locked="0" hidden="0"/>
    </xf>
    <xf numFmtId="14" fontId="21" fillId="0" borderId="2" applyAlignment="1" applyProtection="1" pivotButton="0" quotePrefix="0" xfId="0">
      <alignment horizontal="center" vertical="center"/>
      <protection locked="0" hidden="0"/>
    </xf>
    <xf numFmtId="0" fontId="22" fillId="0" borderId="0" applyAlignment="1" applyProtection="1" pivotButton="0" quotePrefix="0" xfId="0">
      <alignment vertical="center" shrinkToFit="1"/>
      <protection locked="0" hidden="0"/>
    </xf>
    <xf numFmtId="0" fontId="22" fillId="0" borderId="2" applyAlignment="1" applyProtection="1" pivotButton="0" quotePrefix="0" xfId="0">
      <alignment vertical="center" shrinkToFit="1"/>
      <protection locked="0" hidden="0"/>
    </xf>
    <xf numFmtId="49" fontId="22" fillId="0" borderId="12" applyAlignment="1" applyProtection="1" pivotButton="0" quotePrefix="0" xfId="0">
      <alignment vertical="center"/>
      <protection locked="0" hidden="0"/>
    </xf>
    <xf numFmtId="0" fontId="22" fillId="0" borderId="3" applyAlignment="1" applyProtection="1" pivotButton="0" quotePrefix="0" xfId="0">
      <alignment vertical="center"/>
      <protection locked="0" hidden="0"/>
    </xf>
    <xf numFmtId="0" fontId="22" fillId="0" borderId="17" applyAlignment="1" applyProtection="1" pivotButton="0" quotePrefix="0" xfId="0">
      <alignment vertical="center"/>
      <protection locked="0" hidden="0"/>
    </xf>
    <xf numFmtId="14" fontId="22" fillId="10" borderId="0" applyAlignment="1" applyProtection="1" pivotButton="0" quotePrefix="0" xfId="0">
      <alignment vertical="center"/>
      <protection locked="0" hidden="0"/>
    </xf>
    <xf numFmtId="0" fontId="25" fillId="0" borderId="0" applyAlignment="1" applyProtection="1" pivotButton="0" quotePrefix="0" xfId="0">
      <alignment vertical="center"/>
      <protection locked="0" hidden="0"/>
    </xf>
    <xf numFmtId="0" fontId="22" fillId="0" borderId="0" applyAlignment="1" applyProtection="1" pivotButton="0" quotePrefix="0" xfId="0">
      <alignment horizontal="right" vertical="center"/>
      <protection locked="0" hidden="0"/>
    </xf>
    <xf numFmtId="0" fontId="22" fillId="0" borderId="0" applyAlignment="1" applyProtection="1" pivotButton="0" quotePrefix="0" xfId="0">
      <alignment horizontal="centerContinuous" vertical="center"/>
      <protection locked="0" hidden="0"/>
    </xf>
    <xf numFmtId="0" fontId="22" fillId="0" borderId="0" applyAlignment="1" applyProtection="1" pivotButton="0" quotePrefix="0" xfId="0">
      <alignment horizontal="center" vertical="center"/>
      <protection locked="0" hidden="0"/>
    </xf>
    <xf numFmtId="165" fontId="22" fillId="10" borderId="0" applyAlignment="1" applyProtection="1" pivotButton="0" quotePrefix="0" xfId="2">
      <alignment horizontal="right" vertical="center"/>
      <protection locked="0" hidden="0"/>
    </xf>
    <xf numFmtId="0" fontId="22" fillId="0" borderId="31" applyAlignment="1" applyProtection="1" pivotButton="0" quotePrefix="0" xfId="0">
      <alignment vertical="center" shrinkToFit="1"/>
      <protection locked="0" hidden="0"/>
    </xf>
    <xf numFmtId="166" fontId="22" fillId="0" borderId="32" applyAlignment="1" applyProtection="1" pivotButton="0" quotePrefix="0" xfId="0">
      <alignment vertical="center"/>
      <protection locked="0" hidden="0"/>
    </xf>
    <xf numFmtId="167" fontId="22" fillId="0" borderId="32" applyAlignment="1" applyProtection="1" pivotButton="0" quotePrefix="0" xfId="0">
      <alignment vertical="center"/>
      <protection locked="0" hidden="0"/>
    </xf>
    <xf numFmtId="0" fontId="22" fillId="0" borderId="32" applyAlignment="1" applyProtection="1" pivotButton="0" quotePrefix="0" xfId="0">
      <alignment vertical="center"/>
      <protection locked="0" hidden="0"/>
    </xf>
    <xf numFmtId="0" fontId="22" fillId="0" borderId="33" applyAlignment="1" applyProtection="1" pivotButton="0" quotePrefix="0" xfId="0">
      <alignment vertical="center"/>
      <protection locked="0" hidden="0"/>
    </xf>
    <xf numFmtId="0" fontId="22" fillId="0" borderId="28" applyAlignment="1" applyProtection="1" pivotButton="0" quotePrefix="0" xfId="0">
      <alignment vertical="center"/>
      <protection locked="0" hidden="0"/>
    </xf>
    <xf numFmtId="39" fontId="22" fillId="0" borderId="39" applyAlignment="1" applyProtection="1" pivotButton="0" quotePrefix="0" xfId="0">
      <alignment vertical="center" shrinkToFit="1"/>
      <protection locked="0" hidden="0"/>
    </xf>
    <xf numFmtId="165" fontId="22" fillId="0" borderId="0" applyAlignment="1" applyProtection="1" pivotButton="0" quotePrefix="0" xfId="2">
      <alignment horizontal="right" vertical="center"/>
      <protection locked="0" hidden="0"/>
    </xf>
    <xf numFmtId="165" fontId="22" fillId="10" borderId="0" applyAlignment="1" applyProtection="1" pivotButton="0" quotePrefix="0" xfId="2">
      <alignment horizontal="right" vertical="center"/>
      <protection locked="0" hidden="0"/>
    </xf>
    <xf numFmtId="0" fontId="22" fillId="0" borderId="34" applyAlignment="1" applyProtection="1" pivotButton="0" quotePrefix="0" xfId="0">
      <alignment vertical="center"/>
      <protection locked="0" hidden="0"/>
    </xf>
    <xf numFmtId="166" fontId="22" fillId="0" borderId="51" applyAlignment="1" applyProtection="1" pivotButton="0" quotePrefix="0" xfId="0">
      <alignment vertical="center"/>
      <protection locked="0" hidden="0"/>
    </xf>
    <xf numFmtId="167" fontId="22" fillId="0" borderId="51" applyAlignment="1" applyProtection="1" pivotButton="0" quotePrefix="0" xfId="0">
      <alignment vertical="center"/>
      <protection locked="0" hidden="0"/>
    </xf>
    <xf numFmtId="0" fontId="22" fillId="0" borderId="51" applyAlignment="1" applyProtection="1" pivotButton="0" quotePrefix="0" xfId="0">
      <alignment vertical="center"/>
      <protection locked="0" hidden="0"/>
    </xf>
    <xf numFmtId="0" fontId="22" fillId="0" borderId="9" applyAlignment="1" applyProtection="1" pivotButton="0" quotePrefix="0" xfId="0">
      <alignment vertical="center"/>
      <protection locked="0" hidden="0"/>
    </xf>
    <xf numFmtId="0" fontId="22" fillId="0" borderId="34" applyAlignment="1" applyProtection="1" pivotButton="0" quotePrefix="0" xfId="0">
      <alignment vertical="center" shrinkToFit="1"/>
      <protection locked="0" hidden="0"/>
    </xf>
    <xf numFmtId="165" fontId="22" fillId="0" borderId="9" applyAlignment="1" applyProtection="1" pivotButton="0" quotePrefix="0" xfId="2">
      <alignment horizontal="right" vertical="center"/>
      <protection locked="0" hidden="0"/>
    </xf>
    <xf numFmtId="0" fontId="22" fillId="10" borderId="0" applyAlignment="1" applyProtection="1" pivotButton="0" quotePrefix="0" xfId="0">
      <alignment vertical="center"/>
      <protection locked="0" hidden="0"/>
    </xf>
    <xf numFmtId="0" fontId="22" fillId="0" borderId="34" applyAlignment="1" applyProtection="1" pivotButton="0" quotePrefix="0" xfId="0">
      <alignment horizontal="right" vertical="center"/>
      <protection locked="0" hidden="0"/>
    </xf>
    <xf numFmtId="168" fontId="22" fillId="0" borderId="51" applyAlignment="1" applyProtection="1" pivotButton="0" quotePrefix="0" xfId="0">
      <alignment horizontal="right" vertical="center"/>
      <protection locked="0" hidden="0"/>
    </xf>
    <xf numFmtId="0" fontId="22" fillId="0" borderId="37" applyAlignment="1" applyProtection="1" pivotButton="0" quotePrefix="0" xfId="0">
      <alignment horizontal="right" vertical="center"/>
      <protection locked="0" hidden="0"/>
    </xf>
    <xf numFmtId="0" fontId="16" fillId="11" borderId="44" applyAlignment="1" applyProtection="1" pivotButton="0" quotePrefix="0" xfId="0">
      <alignment horizontal="center" vertical="center"/>
      <protection locked="0" hidden="0"/>
    </xf>
    <xf numFmtId="169" fontId="22" fillId="0" borderId="9" applyAlignment="1" applyProtection="1" pivotButton="0" quotePrefix="0" xfId="2">
      <alignment horizontal="right" vertical="center"/>
      <protection locked="0" hidden="0"/>
    </xf>
    <xf numFmtId="165" fontId="22" fillId="0" borderId="46" applyAlignment="1" applyProtection="1" pivotButton="0" quotePrefix="0" xfId="2">
      <alignment horizontal="right" vertical="center"/>
      <protection locked="0" hidden="0"/>
    </xf>
    <xf numFmtId="9" fontId="22" fillId="0" borderId="51" applyAlignment="1" pivotButton="0" quotePrefix="0" xfId="0">
      <alignment horizontal="right" vertical="center"/>
    </xf>
    <xf numFmtId="0" fontId="22" fillId="0" borderId="51" applyAlignment="1" applyProtection="1" pivotButton="0" quotePrefix="0" xfId="0">
      <alignment horizontal="right" vertical="center"/>
      <protection locked="0" hidden="0"/>
    </xf>
    <xf numFmtId="170" fontId="22" fillId="0" borderId="51" applyAlignment="1" applyProtection="1" pivotButton="0" quotePrefix="0" xfId="0">
      <alignment vertical="center"/>
      <protection locked="0" hidden="0"/>
    </xf>
    <xf numFmtId="39" fontId="22" fillId="0" borderId="9" applyAlignment="1" applyProtection="1" pivotButton="0" quotePrefix="0" xfId="0">
      <alignment horizontal="center" vertical="center"/>
      <protection locked="0" hidden="0"/>
    </xf>
    <xf numFmtId="0" fontId="22" fillId="0" borderId="34" applyAlignment="1" applyProtection="1" pivotButton="0" quotePrefix="0" xfId="0">
      <alignment horizontal="left" vertical="center"/>
      <protection locked="0" hidden="0"/>
    </xf>
    <xf numFmtId="0" fontId="22" fillId="0" borderId="51" applyAlignment="1" pivotButton="0" quotePrefix="0" xfId="0">
      <alignment horizontal="left" vertical="center"/>
    </xf>
    <xf numFmtId="171" fontId="22" fillId="0" borderId="51" applyAlignment="1" applyProtection="1" pivotButton="0" quotePrefix="0" xfId="0">
      <alignment horizontal="right" vertical="center"/>
      <protection locked="0" hidden="0"/>
    </xf>
    <xf numFmtId="39" fontId="26" fillId="0" borderId="0" applyAlignment="1" applyProtection="1" pivotButton="0" quotePrefix="0" xfId="0">
      <alignment horizontal="right" vertical="center"/>
      <protection locked="0" hidden="0"/>
    </xf>
    <xf numFmtId="38" fontId="22" fillId="0" borderId="0" applyAlignment="1" applyProtection="1" pivotButton="0" quotePrefix="0" xfId="2">
      <alignment vertical="center"/>
      <protection locked="0" hidden="0"/>
    </xf>
    <xf numFmtId="39" fontId="22" fillId="0" borderId="51" applyAlignment="1" applyProtection="1" pivotButton="0" quotePrefix="0" xfId="0">
      <alignment vertical="center"/>
      <protection locked="0" hidden="0"/>
    </xf>
    <xf numFmtId="172" fontId="22" fillId="0" borderId="38" applyAlignment="1" applyProtection="1" pivotButton="0" quotePrefix="0" xfId="0">
      <alignment horizontal="left" vertical="center" shrinkToFit="1"/>
      <protection locked="0" hidden="0"/>
    </xf>
    <xf numFmtId="0" fontId="22" fillId="0" borderId="37" applyAlignment="1" applyProtection="1" pivotButton="0" quotePrefix="0" xfId="0">
      <alignment horizontal="left" vertical="center"/>
      <protection locked="0" hidden="0"/>
    </xf>
    <xf numFmtId="0" fontId="22" fillId="0" borderId="9" applyAlignment="1" applyProtection="1" pivotButton="0" quotePrefix="0" xfId="0">
      <alignment horizontal="left" vertical="center"/>
      <protection locked="0" hidden="0"/>
    </xf>
    <xf numFmtId="0" fontId="22" fillId="0" borderId="29" applyAlignment="1" applyProtection="1" pivotButton="0" quotePrefix="0" xfId="0">
      <alignment vertical="center"/>
      <protection locked="0" hidden="0"/>
    </xf>
    <xf numFmtId="169" fontId="22" fillId="0" borderId="30" applyAlignment="1" applyProtection="1" pivotButton="0" quotePrefix="0" xfId="2">
      <alignment vertical="center"/>
      <protection locked="0" hidden="0"/>
    </xf>
    <xf numFmtId="165" fontId="22" fillId="0" borderId="76" applyAlignment="1" applyProtection="1" pivotButton="0" quotePrefix="0" xfId="2">
      <alignment horizontal="right" vertical="center"/>
      <protection locked="0" hidden="0"/>
    </xf>
    <xf numFmtId="9" fontId="22" fillId="0" borderId="30" applyAlignment="1" applyProtection="1" pivotButton="0" quotePrefix="0" xfId="1">
      <alignment vertical="center"/>
      <protection locked="0" hidden="0"/>
    </xf>
    <xf numFmtId="0" fontId="22" fillId="0" borderId="35" applyAlignment="1" applyProtection="1" pivotButton="0" quotePrefix="0" xfId="0">
      <alignment vertical="center" shrinkToFit="1"/>
      <protection locked="0" hidden="0"/>
    </xf>
    <xf numFmtId="38" fontId="22" fillId="0" borderId="53" applyAlignment="1" applyProtection="1" pivotButton="0" quotePrefix="0" xfId="2">
      <alignment vertical="center"/>
      <protection locked="0" hidden="0"/>
    </xf>
    <xf numFmtId="0" fontId="22" fillId="0" borderId="53" applyAlignment="1" applyProtection="1" pivotButton="0" quotePrefix="0" xfId="0">
      <alignment vertical="center"/>
      <protection locked="0" hidden="0"/>
    </xf>
    <xf numFmtId="0" fontId="22" fillId="0" borderId="53" applyAlignment="1" applyProtection="1" pivotButton="0" quotePrefix="0" xfId="0">
      <alignment horizontal="centerContinuous" vertical="center"/>
      <protection locked="0" hidden="0"/>
    </xf>
    <xf numFmtId="0" fontId="22" fillId="0" borderId="36" applyAlignment="1" applyProtection="1" pivotButton="0" quotePrefix="0" xfId="0">
      <alignment horizontal="centerContinuous" vertical="center"/>
      <protection locked="0" hidden="0"/>
    </xf>
    <xf numFmtId="165" fontId="22" fillId="0" borderId="11" applyAlignment="1" applyProtection="1" pivotButton="0" quotePrefix="0" xfId="2">
      <alignment vertical="center"/>
      <protection locked="0" hidden="0"/>
    </xf>
    <xf numFmtId="38" fontId="22" fillId="0" borderId="0" applyAlignment="1" applyProtection="1" pivotButton="0" quotePrefix="0" xfId="2">
      <alignment vertical="top"/>
      <protection locked="0" hidden="0"/>
    </xf>
    <xf numFmtId="39" fontId="26" fillId="0" borderId="0" applyAlignment="1" applyProtection="1" pivotButton="0" quotePrefix="0" xfId="0">
      <alignment horizontal="center" vertical="center"/>
      <protection locked="0" hidden="0"/>
    </xf>
    <xf numFmtId="39" fontId="16" fillId="0" borderId="0" applyAlignment="1" applyProtection="1" pivotButton="0" quotePrefix="0" xfId="0">
      <alignment horizontal="left" vertical="center" shrinkToFit="1"/>
      <protection locked="0" hidden="0"/>
    </xf>
    <xf numFmtId="165" fontId="22" fillId="0" borderId="0" applyAlignment="1" applyProtection="1" pivotButton="0" quotePrefix="0" xfId="2">
      <alignment horizontal="right" vertical="center"/>
      <protection locked="0" hidden="0"/>
    </xf>
    <xf numFmtId="0" fontId="22" fillId="2" borderId="23" applyAlignment="1" applyProtection="1" pivotButton="0" quotePrefix="0" xfId="0">
      <alignment horizontal="left" vertical="center" shrinkToFit="1"/>
      <protection locked="0" hidden="0"/>
    </xf>
    <xf numFmtId="0" fontId="22" fillId="2" borderId="4" applyAlignment="1" applyProtection="1" pivotButton="0" quotePrefix="0" xfId="0">
      <alignment horizontal="centerContinuous" vertical="center"/>
      <protection locked="0" hidden="0"/>
    </xf>
    <xf numFmtId="0" fontId="22" fillId="2" borderId="71" applyAlignment="1" applyProtection="1" pivotButton="0" quotePrefix="0" xfId="0">
      <alignment horizontal="centerContinuous" vertical="center"/>
      <protection locked="0" hidden="0"/>
    </xf>
    <xf numFmtId="0" fontId="22" fillId="2" borderId="55" applyAlignment="1" applyProtection="1" pivotButton="0" quotePrefix="0" xfId="0">
      <alignment horizontal="center" vertical="center"/>
      <protection locked="0" hidden="0"/>
    </xf>
    <xf numFmtId="0" fontId="22" fillId="2" borderId="8" applyAlignment="1" applyProtection="1" pivotButton="0" quotePrefix="0" xfId="0">
      <alignment horizontal="center" vertical="center"/>
      <protection locked="0" hidden="0"/>
    </xf>
    <xf numFmtId="0" fontId="22" fillId="2" borderId="55" applyAlignment="1" applyProtection="1" pivotButton="0" quotePrefix="0" xfId="0">
      <alignment horizontal="center" vertical="center" wrapText="1"/>
      <protection locked="0" hidden="0"/>
    </xf>
    <xf numFmtId="0" fontId="22" fillId="2" borderId="24" applyAlignment="1" applyProtection="1" pivotButton="0" quotePrefix="0" xfId="0">
      <alignment horizontal="center" vertical="center" shrinkToFit="1"/>
      <protection locked="0" hidden="0"/>
    </xf>
    <xf numFmtId="0" fontId="22" fillId="0" borderId="44" applyAlignment="1" applyProtection="1" pivotButton="0" quotePrefix="0" xfId="0">
      <alignment vertical="center" shrinkToFit="1"/>
      <protection locked="0" hidden="0"/>
    </xf>
    <xf numFmtId="0" fontId="22" fillId="0" borderId="5" applyAlignment="1" applyProtection="1" pivotButton="0" quotePrefix="0" xfId="0">
      <alignment vertical="center"/>
      <protection locked="0" hidden="0"/>
    </xf>
    <xf numFmtId="0" fontId="22" fillId="0" borderId="54" applyAlignment="1" applyProtection="1" pivotButton="0" quotePrefix="0" xfId="0">
      <alignment vertical="center"/>
      <protection locked="0" hidden="0"/>
    </xf>
    <xf numFmtId="0" fontId="22" fillId="0" borderId="56" applyAlignment="1" applyProtection="1" pivotButton="0" quotePrefix="0" xfId="0">
      <alignment vertical="center"/>
      <protection locked="0" hidden="0"/>
    </xf>
    <xf numFmtId="0" fontId="22" fillId="0" borderId="46" applyAlignment="1" applyProtection="1" pivotButton="0" quotePrefix="0" xfId="0">
      <alignment vertical="center" shrinkToFit="1"/>
      <protection locked="0" hidden="0"/>
    </xf>
    <xf numFmtId="0" fontId="22" fillId="0" borderId="14" applyAlignment="1" applyProtection="1" pivotButton="0" quotePrefix="0" xfId="0">
      <alignment vertical="center"/>
      <protection locked="0" hidden="0"/>
    </xf>
    <xf numFmtId="0" fontId="22" fillId="0" borderId="57" applyAlignment="1" applyProtection="1" pivotButton="0" quotePrefix="0" xfId="0">
      <alignment vertical="center"/>
      <protection locked="0" hidden="0"/>
    </xf>
    <xf numFmtId="37" fontId="22" fillId="0" borderId="50" applyAlignment="1" applyProtection="1" pivotButton="0" quotePrefix="0" xfId="0">
      <alignment vertical="center"/>
      <protection locked="0" hidden="0"/>
    </xf>
    <xf numFmtId="0" fontId="22" fillId="0" borderId="46" applyAlignment="1" applyProtection="1" pivotButton="0" quotePrefix="0" xfId="0">
      <alignment horizontal="left" vertical="center" shrinkToFit="1"/>
      <protection locked="0" hidden="0"/>
    </xf>
    <xf numFmtId="37" fontId="22" fillId="3" borderId="50" applyAlignment="1" applyProtection="1" pivotButton="0" quotePrefix="0" xfId="0">
      <alignment vertical="center"/>
      <protection locked="0" hidden="0"/>
    </xf>
    <xf numFmtId="38" fontId="22" fillId="0" borderId="51" applyAlignment="1" applyProtection="1" pivotButton="0" quotePrefix="0" xfId="2">
      <alignment vertical="center"/>
      <protection locked="0" hidden="0"/>
    </xf>
    <xf numFmtId="9" fontId="22" fillId="0" borderId="51" applyAlignment="1" applyProtection="1" pivotButton="0" quotePrefix="0" xfId="1">
      <alignment vertical="center"/>
      <protection locked="0" hidden="0"/>
    </xf>
    <xf numFmtId="0" fontId="22" fillId="0" borderId="48" applyAlignment="1" applyProtection="1" pivotButton="0" quotePrefix="0" xfId="0">
      <alignment vertical="center" shrinkToFit="1"/>
      <protection locked="0" hidden="0"/>
    </xf>
    <xf numFmtId="0" fontId="22" fillId="0" borderId="61" applyAlignment="1" applyProtection="1" pivotButton="0" quotePrefix="0" xfId="0">
      <alignment vertical="center"/>
      <protection locked="0" hidden="0"/>
    </xf>
    <xf numFmtId="0" fontId="22" fillId="0" borderId="58" applyAlignment="1" applyProtection="1" pivotButton="0" quotePrefix="0" xfId="0">
      <alignment vertical="center"/>
      <protection locked="0" hidden="0"/>
    </xf>
    <xf numFmtId="37" fontId="22" fillId="0" borderId="60" applyAlignment="1" applyProtection="1" pivotButton="0" quotePrefix="0" xfId="0">
      <alignment vertical="center"/>
      <protection locked="0" hidden="0"/>
    </xf>
    <xf numFmtId="173" fontId="22" fillId="0" borderId="45" applyAlignment="1" applyProtection="1" pivotButton="0" quotePrefix="0" xfId="0">
      <alignment horizontal="left" vertical="center" shrinkToFit="1"/>
      <protection locked="0" hidden="0"/>
    </xf>
    <xf numFmtId="173" fontId="22" fillId="0" borderId="47" applyAlignment="1" applyProtection="1" pivotButton="0" quotePrefix="0" xfId="0">
      <alignment horizontal="left" vertical="center" shrinkToFit="1"/>
      <protection locked="0" hidden="0"/>
    </xf>
    <xf numFmtId="38" fontId="22" fillId="0" borderId="51" applyAlignment="1" applyProtection="1" pivotButton="0" quotePrefix="0" xfId="2">
      <alignment vertical="center"/>
      <protection locked="0" hidden="0"/>
    </xf>
    <xf numFmtId="9" fontId="22" fillId="0" borderId="50" applyAlignment="1" applyProtection="1" pivotButton="0" quotePrefix="0" xfId="1">
      <alignment vertical="center"/>
      <protection locked="0" hidden="0"/>
    </xf>
    <xf numFmtId="0" fontId="22" fillId="0" borderId="50" applyAlignment="1" applyProtection="1" pivotButton="0" quotePrefix="0" xfId="0">
      <alignment vertical="center"/>
      <protection locked="0" hidden="0"/>
    </xf>
    <xf numFmtId="0" fontId="22" fillId="0" borderId="51" applyAlignment="1" applyProtection="1" pivotButton="0" quotePrefix="0" xfId="0">
      <alignment horizontal="left" vertical="center"/>
      <protection locked="0" hidden="0"/>
    </xf>
    <xf numFmtId="174" fontId="22" fillId="0" borderId="51" applyAlignment="1" applyProtection="1" pivotButton="0" quotePrefix="0" xfId="0">
      <alignment horizontal="left" vertical="center"/>
      <protection locked="0" hidden="0"/>
    </xf>
    <xf numFmtId="0" fontId="22" fillId="0" borderId="14" applyAlignment="1" applyProtection="1" pivotButton="0" quotePrefix="0" xfId="0">
      <alignment horizontal="left" vertical="center"/>
      <protection locked="0" hidden="0"/>
    </xf>
    <xf numFmtId="0" fontId="22" fillId="10" borderId="57" applyAlignment="1" applyProtection="1" pivotButton="0" quotePrefix="0" xfId="0">
      <alignment horizontal="left" vertical="center"/>
      <protection locked="0" hidden="0"/>
    </xf>
    <xf numFmtId="37" fontId="22" fillId="10" borderId="50" applyAlignment="1" applyProtection="1" pivotButton="0" quotePrefix="0" xfId="0">
      <alignment vertical="center"/>
      <protection locked="0" hidden="0"/>
    </xf>
    <xf numFmtId="173" fontId="22" fillId="10" borderId="57" applyAlignment="1" applyProtection="1" pivotButton="0" quotePrefix="0" xfId="0">
      <alignment horizontal="center" vertical="center"/>
      <protection locked="0" hidden="0"/>
    </xf>
    <xf numFmtId="166" fontId="22" fillId="0" borderId="51" applyAlignment="1" applyProtection="1" pivotButton="0" quotePrefix="0" xfId="0">
      <alignment horizontal="left" vertical="center"/>
      <protection locked="0" hidden="0"/>
    </xf>
    <xf numFmtId="0" fontId="22" fillId="0" borderId="51" applyAlignment="1" applyProtection="1" pivotButton="0" quotePrefix="0" xfId="0">
      <alignment horizontal="center" vertical="center"/>
      <protection locked="0" hidden="0"/>
    </xf>
    <xf numFmtId="0" fontId="22" fillId="0" borderId="14" applyAlignment="1" applyProtection="1" pivotButton="0" quotePrefix="0" xfId="0">
      <alignment horizontal="center" vertical="center"/>
      <protection locked="0" hidden="0"/>
    </xf>
    <xf numFmtId="0" fontId="22" fillId="10" borderId="57" applyAlignment="1" applyProtection="1" pivotButton="0" quotePrefix="0" xfId="0">
      <alignment vertical="center"/>
      <protection locked="0" hidden="0"/>
    </xf>
    <xf numFmtId="175" fontId="22" fillId="0" borderId="51" applyAlignment="1" applyProtection="1" pivotButton="0" quotePrefix="0" xfId="0">
      <alignment vertical="center"/>
      <protection locked="0" hidden="0"/>
    </xf>
    <xf numFmtId="38" fontId="22" fillId="0" borderId="51" applyAlignment="1" applyProtection="1" pivotButton="0" quotePrefix="0" xfId="0">
      <alignment horizontal="left" vertical="center"/>
      <protection locked="0" hidden="0"/>
    </xf>
    <xf numFmtId="38" fontId="22" fillId="0" borderId="14" applyAlignment="1" applyProtection="1" pivotButton="0" quotePrefix="0" xfId="2">
      <alignment horizontal="left" vertical="center"/>
      <protection locked="0" hidden="0"/>
    </xf>
    <xf numFmtId="173" fontId="22" fillId="0" borderId="57" applyAlignment="1" applyProtection="1" pivotButton="0" quotePrefix="0" xfId="0">
      <alignment horizontal="center" vertical="center"/>
      <protection locked="0" hidden="0"/>
    </xf>
    <xf numFmtId="9" fontId="22" fillId="0" borderId="51" applyAlignment="1" applyProtection="1" pivotButton="0" quotePrefix="0" xfId="0">
      <alignment vertical="center"/>
      <protection locked="0" hidden="0"/>
    </xf>
    <xf numFmtId="0" fontId="22" fillId="0" borderId="60" applyAlignment="1" applyProtection="1" pivotButton="0" quotePrefix="0" xfId="0">
      <alignment vertical="center"/>
      <protection locked="0" hidden="0"/>
    </xf>
    <xf numFmtId="173" fontId="22" fillId="0" borderId="58" applyAlignment="1" applyProtection="1" pivotButton="0" quotePrefix="0" xfId="0">
      <alignment horizontal="center" vertical="center"/>
      <protection locked="0" hidden="0"/>
    </xf>
    <xf numFmtId="173" fontId="22" fillId="0" borderId="49" applyAlignment="1" applyProtection="1" pivotButton="0" quotePrefix="0" xfId="0">
      <alignment horizontal="left" vertical="center" shrinkToFit="1"/>
      <protection locked="0" hidden="0"/>
    </xf>
    <xf numFmtId="0" fontId="22" fillId="2" borderId="55" applyAlignment="1" applyProtection="1" pivotButton="0" quotePrefix="0" xfId="0">
      <alignment horizontal="centerContinuous" vertical="center"/>
      <protection locked="0" hidden="0"/>
    </xf>
    <xf numFmtId="37" fontId="22" fillId="4" borderId="55" applyAlignment="1" applyProtection="1" pivotButton="0" quotePrefix="0" xfId="0">
      <alignment horizontal="center" vertical="center"/>
      <protection locked="0" hidden="0"/>
    </xf>
    <xf numFmtId="0" fontId="22" fillId="0" borderId="59" applyAlignment="1" applyProtection="1" pivotButton="0" quotePrefix="0" xfId="0">
      <alignment vertical="center"/>
      <protection locked="0" hidden="0"/>
    </xf>
    <xf numFmtId="38" fontId="22" fillId="0" borderId="14" applyAlignment="1" applyProtection="1" pivotButton="0" quotePrefix="0" xfId="2">
      <alignment vertical="center"/>
      <protection locked="0" hidden="0"/>
    </xf>
    <xf numFmtId="38" fontId="22" fillId="0" borderId="50" applyAlignment="1" applyProtection="1" pivotButton="0" quotePrefix="0" xfId="2">
      <alignment vertical="center"/>
      <protection locked="0" hidden="0"/>
    </xf>
    <xf numFmtId="0" fontId="22" fillId="0" borderId="46" applyAlignment="1" applyProtection="1" pivotButton="0" quotePrefix="0" xfId="0">
      <alignment vertical="center"/>
      <protection locked="0" hidden="0"/>
    </xf>
    <xf numFmtId="37" fontId="22" fillId="12" borderId="50" applyAlignment="1" applyProtection="1" pivotButton="0" quotePrefix="0" xfId="0">
      <alignment vertical="center"/>
      <protection locked="0" hidden="0"/>
    </xf>
    <xf numFmtId="0" fontId="22" fillId="0" borderId="50" applyAlignment="1" applyProtection="1" pivotButton="0" quotePrefix="0" xfId="0">
      <alignment horizontal="left" vertical="center"/>
      <protection locked="0" hidden="0"/>
    </xf>
    <xf numFmtId="0" fontId="22" fillId="0" borderId="62" applyAlignment="1" applyProtection="1" pivotButton="0" quotePrefix="0" xfId="0">
      <alignment vertical="center" shrinkToFit="1"/>
      <protection locked="0" hidden="0"/>
    </xf>
    <xf numFmtId="0" fontId="22" fillId="0" borderId="60" applyAlignment="1" applyProtection="1" pivotButton="0" quotePrefix="0" xfId="0">
      <alignment horizontal="left" vertical="center"/>
      <protection locked="0" hidden="0"/>
    </xf>
    <xf numFmtId="0" fontId="22" fillId="0" borderId="53" applyAlignment="1" applyProtection="1" pivotButton="0" quotePrefix="0" xfId="0">
      <alignment horizontal="right" vertical="center"/>
      <protection locked="0" hidden="0"/>
    </xf>
    <xf numFmtId="37" fontId="22" fillId="0" borderId="61" applyAlignment="1" applyProtection="1" pivotButton="0" quotePrefix="0" xfId="0">
      <alignment vertical="center"/>
      <protection locked="0" hidden="0"/>
    </xf>
    <xf numFmtId="37" fontId="22" fillId="4" borderId="55" applyAlignment="1" applyProtection="1" pivotButton="0" quotePrefix="0" xfId="0">
      <alignment vertical="center"/>
      <protection locked="0" hidden="0"/>
    </xf>
    <xf numFmtId="173" fontId="22" fillId="0" borderId="56" applyAlignment="1" applyProtection="1" pivotButton="0" quotePrefix="0" xfId="0">
      <alignment horizontal="center" vertical="center"/>
      <protection locked="0" hidden="0"/>
    </xf>
    <xf numFmtId="173" fontId="22" fillId="0" borderId="45" applyAlignment="1" applyProtection="1" pivotButton="0" quotePrefix="0" xfId="0">
      <alignment horizontal="center" vertical="center" shrinkToFit="1"/>
      <protection locked="0" hidden="0"/>
    </xf>
    <xf numFmtId="10" fontId="22" fillId="10" borderId="53" applyAlignment="1" applyProtection="1" pivotButton="0" quotePrefix="0" xfId="1">
      <alignment vertical="center"/>
      <protection locked="0" hidden="0"/>
    </xf>
    <xf numFmtId="0" fontId="21" fillId="0" borderId="53" applyAlignment="1" applyProtection="1" pivotButton="0" quotePrefix="0" xfId="0">
      <alignment vertical="center"/>
      <protection locked="0" hidden="0"/>
    </xf>
    <xf numFmtId="173" fontId="22" fillId="0" borderId="49" applyAlignment="1" applyProtection="1" pivotButton="0" quotePrefix="0" xfId="0">
      <alignment horizontal="center" vertical="center" shrinkToFit="1"/>
      <protection locked="0" hidden="0"/>
    </xf>
    <xf numFmtId="39" fontId="22" fillId="0" borderId="0" applyAlignment="1" applyProtection="1" pivotButton="0" quotePrefix="0" xfId="0">
      <alignment horizontal="right" vertical="center"/>
      <protection locked="0" hidden="0"/>
    </xf>
    <xf numFmtId="0" fontId="22" fillId="0" borderId="19" applyAlignment="1" applyProtection="1" pivotButton="0" quotePrefix="0" xfId="0">
      <alignment vertical="center"/>
      <protection locked="0" hidden="0"/>
    </xf>
    <xf numFmtId="0" fontId="22" fillId="0" borderId="16" applyAlignment="1" applyProtection="1" pivotButton="0" quotePrefix="0" xfId="0">
      <alignment vertical="center"/>
      <protection locked="0" hidden="0"/>
    </xf>
    <xf numFmtId="0" fontId="22" fillId="0" borderId="20" applyAlignment="1" applyProtection="1" pivotButton="0" quotePrefix="0" xfId="0">
      <alignment vertical="center"/>
      <protection locked="0" hidden="0"/>
    </xf>
    <xf numFmtId="0" fontId="22" fillId="0" borderId="63" applyAlignment="1" applyProtection="1" pivotButton="0" quotePrefix="0" xfId="0">
      <alignment vertical="center"/>
      <protection locked="0" hidden="0"/>
    </xf>
    <xf numFmtId="0" fontId="22" fillId="0" borderId="17" applyAlignment="1" applyProtection="1" pivotButton="0" quotePrefix="0" xfId="0">
      <alignment vertical="center" shrinkToFit="1"/>
      <protection locked="0" hidden="0"/>
    </xf>
    <xf numFmtId="0" fontId="22" fillId="0" borderId="21" applyAlignment="1" applyProtection="1" pivotButton="0" quotePrefix="0" xfId="0">
      <alignment vertical="center"/>
      <protection locked="0" hidden="0"/>
    </xf>
    <xf numFmtId="0" fontId="22" fillId="0" borderId="65" applyAlignment="1" applyProtection="1" pivotButton="0" quotePrefix="0" xfId="0">
      <alignment vertical="center"/>
      <protection locked="0" hidden="0"/>
    </xf>
    <xf numFmtId="0" fontId="22" fillId="0" borderId="66" applyAlignment="1" applyProtection="1" pivotButton="0" quotePrefix="0" xfId="0">
      <alignment vertical="center"/>
      <protection locked="0" hidden="0"/>
    </xf>
    <xf numFmtId="0" fontId="22" fillId="0" borderId="68" applyAlignment="1" applyProtection="1" pivotButton="0" quotePrefix="0" xfId="0">
      <alignment vertical="center"/>
      <protection locked="0" hidden="0"/>
    </xf>
    <xf numFmtId="0" fontId="22" fillId="0" borderId="0" applyAlignment="1" applyProtection="1" pivotButton="0" quotePrefix="0" xfId="0">
      <alignment horizontal="left" vertical="top" wrapText="1"/>
      <protection locked="0" hidden="0"/>
    </xf>
    <xf numFmtId="0" fontId="22" fillId="0" borderId="13" applyAlignment="1" applyProtection="1" pivotButton="0" quotePrefix="0" xfId="0">
      <alignment vertical="center" shrinkToFit="1"/>
      <protection locked="0" hidden="0"/>
    </xf>
    <xf numFmtId="0" fontId="22" fillId="0" borderId="6" applyAlignment="1" applyProtection="1" pivotButton="0" quotePrefix="0" xfId="0">
      <alignment vertical="center"/>
      <protection locked="0" hidden="0"/>
    </xf>
    <xf numFmtId="0" fontId="22" fillId="0" borderId="22" applyAlignment="1" applyProtection="1" pivotButton="0" quotePrefix="0" xfId="0">
      <alignment vertical="center"/>
      <protection locked="0" hidden="0"/>
    </xf>
    <xf numFmtId="0" fontId="22" fillId="0" borderId="70" applyAlignment="1" applyProtection="1" pivotButton="0" quotePrefix="0" xfId="0">
      <alignment vertical="center"/>
      <protection locked="0" hidden="0"/>
    </xf>
    <xf numFmtId="176" fontId="22" fillId="0" borderId="78" applyAlignment="1" applyProtection="1" pivotButton="0" quotePrefix="0" xfId="0">
      <alignment vertical="center"/>
      <protection locked="0" hidden="0"/>
    </xf>
    <xf numFmtId="0" fontId="22" fillId="0" borderId="78" applyAlignment="1" applyProtection="1" pivotButton="0" quotePrefix="0" xfId="0">
      <alignment vertical="center"/>
      <protection locked="0" hidden="0"/>
    </xf>
    <xf numFmtId="166" fontId="22" fillId="0" borderId="77" applyAlignment="1" applyProtection="1" pivotButton="0" quotePrefix="0" xfId="0">
      <alignment vertical="center"/>
      <protection locked="0" hidden="0"/>
    </xf>
    <xf numFmtId="38" fontId="22" fillId="10" borderId="50" applyAlignment="1" applyProtection="1" pivotButton="0" quotePrefix="0" xfId="2">
      <alignment vertical="center"/>
      <protection locked="0" hidden="0"/>
    </xf>
    <xf numFmtId="0" fontId="22" fillId="10" borderId="58" applyAlignment="1" applyProtection="1" pivotButton="0" quotePrefix="0" xfId="0">
      <alignment vertical="center"/>
      <protection locked="0" hidden="0"/>
    </xf>
    <xf numFmtId="37" fontId="22" fillId="10" borderId="60" applyAlignment="1" applyProtection="1" pivotButton="0" quotePrefix="0" xfId="0">
      <alignment vertical="center"/>
      <protection locked="0" hidden="0"/>
    </xf>
    <xf numFmtId="173" fontId="22" fillId="10" borderId="58" applyAlignment="1" applyProtection="1" pivotButton="0" quotePrefix="0" xfId="0">
      <alignment horizontal="center" vertical="center"/>
      <protection locked="0" hidden="0"/>
    </xf>
    <xf numFmtId="37" fontId="22" fillId="10" borderId="59" applyAlignment="1" applyProtection="1" pivotButton="0" quotePrefix="0" xfId="0">
      <alignment vertical="center"/>
      <protection locked="0" hidden="0"/>
    </xf>
    <xf numFmtId="37" fontId="22" fillId="10" borderId="56" applyAlignment="1" applyProtection="1" pivotButton="0" quotePrefix="0" xfId="0">
      <alignment horizontal="center" vertical="center"/>
      <protection locked="0" hidden="0"/>
    </xf>
    <xf numFmtId="37" fontId="22" fillId="10" borderId="57" applyAlignment="1" applyProtection="1" pivotButton="0" quotePrefix="0" xfId="0">
      <alignment horizontal="center" vertical="center"/>
      <protection locked="0" hidden="0"/>
    </xf>
    <xf numFmtId="0" fontId="22" fillId="10" borderId="56" applyAlignment="1" applyProtection="1" pivotButton="0" quotePrefix="0" xfId="0">
      <alignment vertical="center"/>
      <protection locked="0" hidden="0"/>
    </xf>
    <xf numFmtId="0" fontId="22" fillId="16" borderId="57" applyAlignment="1" applyProtection="1" pivotButton="0" quotePrefix="0" xfId="0">
      <alignment vertical="center"/>
      <protection locked="0" hidden="0"/>
    </xf>
    <xf numFmtId="37" fontId="22" fillId="10" borderId="58" applyAlignment="1" applyProtection="1" pivotButton="0" quotePrefix="0" xfId="0">
      <alignment vertical="center"/>
      <protection locked="0" hidden="0"/>
    </xf>
    <xf numFmtId="9" fontId="22" fillId="16" borderId="51" applyAlignment="1" applyProtection="1" pivotButton="0" quotePrefix="0" xfId="1">
      <alignment vertical="center"/>
      <protection locked="0" hidden="0"/>
    </xf>
    <xf numFmtId="9" fontId="22" fillId="0" borderId="0" applyAlignment="1" applyProtection="1" pivotButton="0" quotePrefix="0" xfId="1">
      <alignment horizontal="right" vertical="center"/>
      <protection locked="0" hidden="0"/>
    </xf>
    <xf numFmtId="37" fontId="22" fillId="0" borderId="64" applyAlignment="1" applyProtection="1" pivotButton="0" quotePrefix="0" xfId="0">
      <alignment vertical="center"/>
      <protection locked="0" hidden="0"/>
    </xf>
    <xf numFmtId="37" fontId="22" fillId="0" borderId="52" applyAlignment="1" applyProtection="1" pivotButton="0" quotePrefix="0" xfId="0">
      <alignment vertical="center"/>
      <protection locked="0" hidden="0"/>
    </xf>
    <xf numFmtId="37" fontId="22" fillId="0" borderId="67" applyAlignment="1" applyProtection="1" pivotButton="0" quotePrefix="0" xfId="0">
      <alignment vertical="center"/>
      <protection locked="0" hidden="0"/>
    </xf>
    <xf numFmtId="37" fontId="22" fillId="0" borderId="69" applyAlignment="1" applyProtection="1" pivotButton="0" quotePrefix="0" xfId="0">
      <alignment vertical="center"/>
      <protection locked="0" hidden="0"/>
    </xf>
    <xf numFmtId="0" fontId="14" fillId="0" borderId="0" pivotButton="0" quotePrefix="0" xfId="0"/>
    <xf numFmtId="0" fontId="13" fillId="0" borderId="0" pivotButton="0" quotePrefix="0" xfId="5"/>
    <xf numFmtId="14" fontId="12" fillId="10" borderId="2" applyAlignment="1" pivotButton="0" quotePrefix="0" xfId="5">
      <alignment horizontal="right" shrinkToFit="1"/>
    </xf>
    <xf numFmtId="0" fontId="12" fillId="10" borderId="7" applyAlignment="1" pivotButton="0" quotePrefix="0" xfId="5">
      <alignment shrinkToFit="1"/>
    </xf>
    <xf numFmtId="9" fontId="14" fillId="10" borderId="2" applyAlignment="1" pivotButton="0" quotePrefix="0" xfId="7">
      <alignment shrinkToFit="1"/>
    </xf>
    <xf numFmtId="0" fontId="12" fillId="10" borderId="2" applyAlignment="1" pivotButton="0" quotePrefix="0" xfId="5">
      <alignment horizontal="right" shrinkToFit="1"/>
    </xf>
    <xf numFmtId="0" fontId="12" fillId="10" borderId="2" applyAlignment="1" pivotButton="0" quotePrefix="0" xfId="5">
      <alignment shrinkToFit="1"/>
    </xf>
    <xf numFmtId="38" fontId="14" fillId="10" borderId="2" applyAlignment="1" pivotButton="0" quotePrefix="0" xfId="6">
      <alignment shrinkToFit="1"/>
    </xf>
    <xf numFmtId="38" fontId="12" fillId="10" borderId="2" applyAlignment="1" pivotButton="0" quotePrefix="0" xfId="2">
      <alignment shrinkToFit="1"/>
    </xf>
    <xf numFmtId="38" fontId="14" fillId="10" borderId="2" pivotButton="0" quotePrefix="0" xfId="6"/>
    <xf numFmtId="0" fontId="12" fillId="13" borderId="2" applyAlignment="1" pivotButton="0" quotePrefix="0" xfId="5">
      <alignment horizontal="right" shrinkToFit="1"/>
    </xf>
    <xf numFmtId="0" fontId="12" fillId="13" borderId="2" pivotButton="0" quotePrefix="0" xfId="5"/>
    <xf numFmtId="0" fontId="14" fillId="0" borderId="0" applyAlignment="1" pivotButton="0" quotePrefix="0" xfId="0">
      <alignment vertical="center"/>
    </xf>
    <xf numFmtId="0" fontId="14" fillId="6" borderId="0" applyAlignment="1" pivotButton="0" quotePrefix="0" xfId="0">
      <alignment vertical="center"/>
    </xf>
    <xf numFmtId="0" fontId="14" fillId="13" borderId="0" applyAlignment="1" pivotButton="0" quotePrefix="0" xfId="0">
      <alignment vertical="center"/>
    </xf>
    <xf numFmtId="0" fontId="14" fillId="7" borderId="0" applyAlignment="1" pivotButton="0" quotePrefix="0" xfId="0">
      <alignment vertical="center"/>
    </xf>
    <xf numFmtId="0" fontId="14" fillId="14" borderId="0" applyAlignment="1" pivotButton="0" quotePrefix="0" xfId="0">
      <alignment vertical="center"/>
    </xf>
    <xf numFmtId="0" fontId="14" fillId="8" borderId="0" applyAlignment="1" pivotButton="0" quotePrefix="0" xfId="0">
      <alignment vertical="center"/>
    </xf>
    <xf numFmtId="0" fontId="14" fillId="15" borderId="0" applyAlignment="1" pivotButton="0" quotePrefix="0" xfId="0">
      <alignment vertical="center"/>
    </xf>
    <xf numFmtId="0" fontId="28" fillId="0" borderId="2" applyAlignment="1" pivotButton="0" quotePrefix="0" xfId="0">
      <alignment vertical="center"/>
    </xf>
    <xf numFmtId="38" fontId="28" fillId="0" borderId="2" applyAlignment="1" pivotButton="0" quotePrefix="0" xfId="2">
      <alignment vertical="center"/>
    </xf>
    <xf numFmtId="0" fontId="13" fillId="0" borderId="0" applyAlignment="1" pivotButton="0" quotePrefix="0" xfId="0">
      <alignment horizontal="right" vertical="center"/>
    </xf>
    <xf numFmtId="177" fontId="28" fillId="0" borderId="2" applyAlignment="1" pivotButton="0" quotePrefix="0" xfId="0">
      <alignment vertical="center"/>
    </xf>
    <xf numFmtId="177" fontId="14" fillId="0" borderId="2" applyAlignment="1" pivotButton="0" quotePrefix="0" xfId="0">
      <alignment vertical="center"/>
    </xf>
    <xf numFmtId="178" fontId="28" fillId="0" borderId="2" applyAlignment="1" pivotButton="0" quotePrefix="0" xfId="2">
      <alignment vertical="center"/>
    </xf>
    <xf numFmtId="178" fontId="14" fillId="0" borderId="0" applyAlignment="1" pivotButton="0" quotePrefix="0" xfId="0">
      <alignment vertical="center"/>
    </xf>
    <xf numFmtId="14" fontId="14" fillId="0" borderId="0" pivotButton="0" quotePrefix="0" xfId="0"/>
    <xf numFmtId="0" fontId="22" fillId="11" borderId="80" applyAlignment="1" applyProtection="1" pivotButton="0" quotePrefix="0" xfId="0">
      <alignment horizontal="center" vertical="center"/>
      <protection locked="0" hidden="0"/>
    </xf>
    <xf numFmtId="179" fontId="22" fillId="0" borderId="81" applyAlignment="1" applyProtection="1" pivotButton="0" quotePrefix="0" xfId="0">
      <alignment vertical="center"/>
      <protection locked="0" hidden="0"/>
    </xf>
    <xf numFmtId="0" fontId="22" fillId="11" borderId="68" applyAlignment="1" applyProtection="1" pivotButton="0" quotePrefix="0" xfId="0">
      <alignment horizontal="center" vertical="center"/>
      <protection locked="0" hidden="0"/>
    </xf>
    <xf numFmtId="0" fontId="22" fillId="11" borderId="6" applyAlignment="1" applyProtection="1" pivotButton="0" quotePrefix="0" xfId="0">
      <alignment horizontal="center" vertical="center"/>
      <protection locked="0" hidden="0"/>
    </xf>
    <xf numFmtId="165" fontId="22" fillId="0" borderId="82" applyAlignment="1" applyProtection="1" pivotButton="0" quotePrefix="0" xfId="2">
      <alignment horizontal="right" vertical="center"/>
      <protection locked="0" hidden="0"/>
    </xf>
    <xf numFmtId="165" fontId="22" fillId="0" borderId="83" applyAlignment="1" applyProtection="1" pivotButton="0" quotePrefix="0" xfId="0">
      <alignment vertical="center"/>
      <protection locked="0" hidden="0"/>
    </xf>
    <xf numFmtId="0" fontId="22" fillId="11" borderId="40" applyAlignment="1" applyProtection="1" pivotButton="0" quotePrefix="0" xfId="0">
      <alignment horizontal="center" vertical="center"/>
      <protection locked="0" hidden="0"/>
    </xf>
    <xf numFmtId="165" fontId="22" fillId="0" borderId="84" applyAlignment="1" applyProtection="1" pivotButton="0" quotePrefix="0" xfId="0">
      <alignment vertical="center"/>
      <protection locked="0" hidden="0"/>
    </xf>
    <xf numFmtId="9" fontId="22" fillId="0" borderId="85" applyAlignment="1" applyProtection="1" pivotButton="0" quotePrefix="0" xfId="1">
      <alignment vertical="center"/>
      <protection locked="0" hidden="0"/>
    </xf>
    <xf numFmtId="38" fontId="22" fillId="0" borderId="52" applyAlignment="1" applyProtection="1" pivotButton="0" quotePrefix="0" xfId="2">
      <alignment vertical="center"/>
      <protection locked="0" hidden="0"/>
    </xf>
    <xf numFmtId="0" fontId="22" fillId="0" borderId="86" applyAlignment="1" applyProtection="1" pivotButton="0" quotePrefix="0" xfId="0">
      <alignment vertical="center"/>
      <protection locked="0" hidden="0"/>
    </xf>
    <xf numFmtId="165" fontId="22" fillId="0" borderId="40" applyAlignment="1" applyProtection="1" pivotButton="0" quotePrefix="0" xfId="2">
      <alignment horizontal="right" vertical="center"/>
      <protection locked="0" hidden="0"/>
    </xf>
    <xf numFmtId="0" fontId="17" fillId="0" borderId="0" applyAlignment="1" pivotButton="0" quotePrefix="0" xfId="8">
      <alignment shrinkToFit="1"/>
    </xf>
    <xf numFmtId="14" fontId="14" fillId="0" borderId="0" applyAlignment="1" pivotButton="0" quotePrefix="0" xfId="0">
      <alignment vertical="top"/>
    </xf>
    <xf numFmtId="0" fontId="14" fillId="0" borderId="0" applyAlignment="1" pivotButton="0" quotePrefix="0" xfId="0">
      <alignment vertical="top"/>
    </xf>
    <xf numFmtId="0" fontId="14" fillId="0" borderId="0" applyAlignment="1" pivotButton="0" quotePrefix="0" xfId="0">
      <alignment vertical="top" wrapText="1"/>
    </xf>
    <xf numFmtId="0" fontId="14" fillId="0" borderId="0" applyAlignment="1" pivotButton="0" quotePrefix="0" xfId="0">
      <alignment wrapText="1"/>
    </xf>
    <xf numFmtId="0" fontId="14" fillId="0" borderId="0" applyAlignment="1" pivotButton="0" quotePrefix="0" xfId="0">
      <alignment vertical="center" wrapText="1"/>
    </xf>
    <xf numFmtId="0" fontId="31" fillId="0" borderId="0" pivotButton="0" quotePrefix="0" xfId="8"/>
    <xf numFmtId="0" fontId="33" fillId="0" borderId="0" applyAlignment="1" pivotButton="0" quotePrefix="0" xfId="9">
      <alignment vertical="center"/>
    </xf>
    <xf numFmtId="0" fontId="34" fillId="0" borderId="0" applyAlignment="1" pivotButton="0" quotePrefix="0" xfId="9">
      <alignment vertical="center"/>
    </xf>
    <xf numFmtId="0" fontId="35" fillId="0" borderId="0" applyAlignment="1" pivotButton="0" quotePrefix="0" xfId="9">
      <alignment vertical="center"/>
    </xf>
    <xf numFmtId="0" fontId="12" fillId="0" borderId="0" applyAlignment="1" pivotButton="0" quotePrefix="0" xfId="9">
      <alignment vertical="center"/>
    </xf>
    <xf numFmtId="0" fontId="36" fillId="0" borderId="0" applyAlignment="1" pivotButton="0" quotePrefix="0" xfId="9">
      <alignment vertical="center"/>
    </xf>
    <xf numFmtId="0" fontId="39" fillId="0" borderId="0" applyAlignment="1" pivotButton="0" quotePrefix="0" xfId="9">
      <alignment horizontal="distributed" vertical="center" shrinkToFit="1" justifyLastLine="1"/>
    </xf>
    <xf numFmtId="0" fontId="34" fillId="0" borderId="0" applyAlignment="1" pivotButton="0" quotePrefix="0" xfId="9">
      <alignment horizontal="center" vertical="center" shrinkToFit="1"/>
    </xf>
    <xf numFmtId="0" fontId="40" fillId="0" borderId="0" applyAlignment="1" pivotButton="0" quotePrefix="0" xfId="9">
      <alignment horizontal="center" vertical="center"/>
    </xf>
    <xf numFmtId="0" fontId="34" fillId="0" borderId="0" applyAlignment="1" pivotButton="0" quotePrefix="0" xfId="9">
      <alignment vertical="center" shrinkToFit="1"/>
    </xf>
    <xf numFmtId="0" fontId="39" fillId="0" borderId="0" applyAlignment="1" pivotButton="0" quotePrefix="0" xfId="9">
      <alignment vertical="center" shrinkToFit="1"/>
    </xf>
    <xf numFmtId="0" fontId="43" fillId="0" borderId="0" applyAlignment="1" pivotButton="0" quotePrefix="0" xfId="9">
      <alignment horizontal="center" vertical="center" shrinkToFit="1"/>
    </xf>
    <xf numFmtId="0" fontId="39" fillId="0" borderId="0" applyAlignment="1" pivotButton="0" quotePrefix="0" xfId="9">
      <alignment horizontal="center" vertical="center" shrinkToFit="1"/>
    </xf>
    <xf numFmtId="0" fontId="37" fillId="0" borderId="0" applyAlignment="1" pivotButton="0" quotePrefix="0" xfId="9">
      <alignment horizontal="left" vertical="center" shrinkToFit="1"/>
    </xf>
    <xf numFmtId="0" fontId="37" fillId="0" borderId="0" applyAlignment="1" pivotButton="0" quotePrefix="0" xfId="9">
      <alignment horizontal="center" vertical="center"/>
    </xf>
    <xf numFmtId="0" fontId="37" fillId="0" borderId="16" applyAlignment="1" pivotButton="0" quotePrefix="0" xfId="9">
      <alignment vertical="center" shrinkToFit="1"/>
    </xf>
    <xf numFmtId="0" fontId="34" fillId="0" borderId="16" applyAlignment="1" pivotButton="0" quotePrefix="0" xfId="9">
      <alignment vertical="center" shrinkToFit="1"/>
    </xf>
    <xf numFmtId="0" fontId="34" fillId="0" borderId="20" applyAlignment="1" pivotButton="0" quotePrefix="0" xfId="9">
      <alignment vertical="center" shrinkToFit="1"/>
    </xf>
    <xf numFmtId="0" fontId="37" fillId="0" borderId="6" applyAlignment="1" pivotButton="0" quotePrefix="0" xfId="9">
      <alignment vertical="center" shrinkToFit="1"/>
    </xf>
    <xf numFmtId="0" fontId="34" fillId="0" borderId="6" applyAlignment="1" pivotButton="0" quotePrefix="0" xfId="9">
      <alignment vertical="center" shrinkToFit="1"/>
    </xf>
    <xf numFmtId="0" fontId="34" fillId="0" borderId="22" applyAlignment="1" pivotButton="0" quotePrefix="0" xfId="9">
      <alignment vertical="center" shrinkToFit="1"/>
    </xf>
    <xf numFmtId="0" fontId="39" fillId="0" borderId="0" applyAlignment="1" pivotButton="0" quotePrefix="0" xfId="9">
      <alignment horizontal="center" vertical="center" shrinkToFit="1" justifyLastLine="1"/>
    </xf>
    <xf numFmtId="0" fontId="37" fillId="0" borderId="20" applyAlignment="1" pivotButton="0" quotePrefix="0" xfId="9">
      <alignment vertical="center" shrinkToFit="1"/>
    </xf>
    <xf numFmtId="0" fontId="44" fillId="0" borderId="0" applyAlignment="1" pivotButton="0" quotePrefix="0" xfId="9">
      <alignment vertical="center" shrinkToFit="1"/>
    </xf>
    <xf numFmtId="0" fontId="39" fillId="0" borderId="21" applyAlignment="1" pivotButton="0" quotePrefix="0" xfId="9">
      <alignment vertical="center" shrinkToFit="1"/>
    </xf>
    <xf numFmtId="0" fontId="34" fillId="0" borderId="6" applyAlignment="1" pivotButton="0" quotePrefix="0" xfId="9">
      <alignment vertical="center"/>
    </xf>
    <xf numFmtId="0" fontId="39" fillId="0" borderId="6" applyAlignment="1" pivotButton="0" quotePrefix="0" xfId="9">
      <alignment vertical="center" shrinkToFit="1" justifyLastLine="1"/>
    </xf>
    <xf numFmtId="0" fontId="47" fillId="0" borderId="16" applyAlignment="1" pivotButton="0" quotePrefix="0" xfId="9">
      <alignment vertical="center" shrinkToFit="1"/>
    </xf>
    <xf numFmtId="0" fontId="47" fillId="0" borderId="20" applyAlignment="1" pivotButton="0" quotePrefix="0" xfId="9">
      <alignment vertical="center" shrinkToFit="1"/>
    </xf>
    <xf numFmtId="0" fontId="37" fillId="0" borderId="22" applyAlignment="1" pivotButton="0" quotePrefix="0" xfId="9">
      <alignment vertical="center" shrinkToFit="1"/>
    </xf>
    <xf numFmtId="0" fontId="37" fillId="0" borderId="0" applyAlignment="1" pivotButton="0" quotePrefix="0" xfId="9">
      <alignment vertical="center" shrinkToFit="1"/>
    </xf>
    <xf numFmtId="0" fontId="39" fillId="0" borderId="0" applyAlignment="1" pivotButton="0" quotePrefix="0" xfId="9">
      <alignment vertical="center" shrinkToFit="1" justifyLastLine="1"/>
    </xf>
    <xf numFmtId="0" fontId="39" fillId="0" borderId="16" applyAlignment="1" pivotButton="0" quotePrefix="0" xfId="9">
      <alignment vertical="center" shrinkToFit="1" justifyLastLine="1"/>
    </xf>
    <xf numFmtId="0" fontId="34" fillId="0" borderId="0" applyAlignment="1" pivotButton="0" quotePrefix="0" xfId="9">
      <alignment horizontal="distributed" vertical="center"/>
    </xf>
    <xf numFmtId="0" fontId="40" fillId="0" borderId="0" applyAlignment="1" pivotButton="0" quotePrefix="0" xfId="9">
      <alignment horizontal="distributed" vertical="center" justifyLastLine="1"/>
    </xf>
    <xf numFmtId="0" fontId="12" fillId="0" borderId="0" applyAlignment="1" pivotButton="0" quotePrefix="0" xfId="9">
      <alignment horizontal="distributed" vertical="center" justifyLastLine="1"/>
    </xf>
    <xf numFmtId="0" fontId="39" fillId="0" borderId="0" applyAlignment="1" pivotButton="0" quotePrefix="0" xfId="9">
      <alignment vertical="distributed" textRotation="255" shrinkToFit="1" justifyLastLine="1"/>
    </xf>
    <xf numFmtId="0" fontId="44" fillId="0" borderId="0" applyAlignment="1" pivotButton="0" quotePrefix="0" xfId="9">
      <alignment horizontal="center" vertical="center" shrinkToFit="1"/>
    </xf>
    <xf numFmtId="0" fontId="33" fillId="0" borderId="16" applyAlignment="1" pivotButton="0" quotePrefix="0" xfId="9">
      <alignment vertical="center" shrinkToFit="1"/>
    </xf>
    <xf numFmtId="3" fontId="49" fillId="0" borderId="0" applyAlignment="1" pivotButton="0" quotePrefix="0" xfId="9">
      <alignment vertical="center" shrinkToFit="1"/>
    </xf>
    <xf numFmtId="0" fontId="34" fillId="0" borderId="0" applyAlignment="1" pivotButton="0" quotePrefix="0" xfId="9">
      <alignment vertical="top" shrinkToFit="1"/>
    </xf>
    <xf numFmtId="0" fontId="12" fillId="0" borderId="0" applyAlignment="1" pivotButton="0" quotePrefix="0" xfId="12">
      <alignment vertical="center"/>
    </xf>
    <xf numFmtId="0" fontId="55" fillId="0" borderId="0" applyAlignment="1" pivotButton="0" quotePrefix="0" xfId="12">
      <alignment horizontal="center" vertical="center"/>
    </xf>
    <xf numFmtId="0" fontId="55" fillId="0" borderId="0" applyAlignment="1" pivotButton="0" quotePrefix="0" xfId="12">
      <alignment vertical="center"/>
    </xf>
    <xf numFmtId="0" fontId="55" fillId="0" borderId="0" applyAlignment="1" pivotButton="0" quotePrefix="0" xfId="12">
      <alignment horizontal="distributed" vertical="center"/>
    </xf>
    <xf numFmtId="0" fontId="55" fillId="0" borderId="0" applyAlignment="1" pivotButton="0" quotePrefix="0" xfId="12">
      <alignment horizontal="left" vertical="center"/>
    </xf>
    <xf numFmtId="0" fontId="56" fillId="0" borderId="6" applyAlignment="1" pivotButton="0" quotePrefix="0" xfId="12">
      <alignment horizontal="center" vertical="center"/>
    </xf>
    <xf numFmtId="0" fontId="57" fillId="0" borderId="0" applyAlignment="1" pivotButton="0" quotePrefix="0" xfId="12">
      <alignment vertical="center"/>
    </xf>
    <xf numFmtId="0" fontId="57" fillId="0" borderId="0" applyAlignment="1" pivotButton="0" quotePrefix="0" xfId="12">
      <alignment horizontal="center" vertical="center"/>
    </xf>
    <xf numFmtId="0" fontId="57" fillId="0" borderId="0" applyAlignment="1" pivotButton="0" quotePrefix="0" xfId="12">
      <alignment horizontal="left" vertical="center" wrapText="1"/>
    </xf>
    <xf numFmtId="0" fontId="12" fillId="0" borderId="2" applyAlignment="1" pivotButton="0" quotePrefix="0" xfId="12">
      <alignment horizontal="center" vertical="center"/>
    </xf>
    <xf numFmtId="0" fontId="55" fillId="0" borderId="2" applyAlignment="1" pivotButton="0" quotePrefix="0" xfId="12">
      <alignment horizontal="center" vertical="center"/>
    </xf>
    <xf numFmtId="168" fontId="55" fillId="0" borderId="2" applyAlignment="1" pivotButton="0" quotePrefix="0" xfId="12">
      <alignment horizontal="right" vertical="center"/>
    </xf>
    <xf numFmtId="0" fontId="55" fillId="0" borderId="12" applyAlignment="1" pivotButton="0" quotePrefix="0" xfId="12">
      <alignment horizontal="center" vertical="center"/>
    </xf>
    <xf numFmtId="0" fontId="55" fillId="0" borderId="3" applyAlignment="1" pivotButton="0" quotePrefix="0" xfId="12">
      <alignment horizontal="center" vertical="center"/>
    </xf>
    <xf numFmtId="0" fontId="12" fillId="0" borderId="3" applyAlignment="1" pivotButton="0" quotePrefix="0" xfId="12">
      <alignment vertical="center"/>
    </xf>
    <xf numFmtId="0" fontId="12" fillId="0" borderId="18" applyAlignment="1" pivotButton="0" quotePrefix="0" xfId="12">
      <alignment vertical="center"/>
    </xf>
    <xf numFmtId="0" fontId="59" fillId="0" borderId="0" pivotButton="0" quotePrefix="0" xfId="14"/>
    <xf numFmtId="0" fontId="60" fillId="0" borderId="0" pivotButton="0" quotePrefix="0" xfId="14"/>
    <xf numFmtId="0" fontId="61" fillId="0" borderId="0" applyAlignment="1" pivotButton="0" quotePrefix="0" xfId="14">
      <alignment horizontal="center"/>
    </xf>
    <xf numFmtId="0" fontId="60" fillId="0" borderId="6" applyAlignment="1" pivotButton="0" quotePrefix="0" xfId="14">
      <alignment horizontal="distributed" indent="1"/>
    </xf>
    <xf numFmtId="0" fontId="60" fillId="0" borderId="6" pivotButton="0" quotePrefix="0" xfId="14"/>
    <xf numFmtId="180" fontId="60" fillId="0" borderId="6" applyAlignment="1" pivotButton="0" quotePrefix="0" xfId="14">
      <alignment horizontal="left" indent="1"/>
    </xf>
    <xf numFmtId="0" fontId="60" fillId="0" borderId="3" applyAlignment="1" pivotButton="0" quotePrefix="0" xfId="14">
      <alignment horizontal="distributed" indent="1"/>
    </xf>
    <xf numFmtId="0" fontId="60" fillId="0" borderId="3" applyAlignment="1" pivotButton="0" quotePrefix="0" xfId="14">
      <alignment horizontal="left" indent="1"/>
    </xf>
    <xf numFmtId="0" fontId="60" fillId="0" borderId="3" pivotButton="0" quotePrefix="0" xfId="14"/>
    <xf numFmtId="14" fontId="60" fillId="0" borderId="3" applyAlignment="1" pivotButton="0" quotePrefix="0" xfId="14">
      <alignment horizontal="left" indent="1"/>
    </xf>
    <xf numFmtId="14" fontId="60" fillId="0" borderId="0" applyAlignment="1" pivotButton="0" quotePrefix="0" xfId="14">
      <alignment horizontal="left" indent="1"/>
    </xf>
    <xf numFmtId="0" fontId="60" fillId="0" borderId="0" applyAlignment="1" pivotButton="0" quotePrefix="0" xfId="14">
      <alignment horizontal="distributed" indent="1"/>
    </xf>
    <xf numFmtId="0" fontId="62" fillId="0" borderId="0" applyAlignment="1" pivotButton="0" quotePrefix="0" xfId="15">
      <alignment vertical="center"/>
    </xf>
    <xf numFmtId="0" fontId="62" fillId="0" borderId="0" applyAlignment="1" applyProtection="1" pivotButton="0" quotePrefix="0" xfId="16">
      <alignment horizontal="center" vertical="center"/>
      <protection locked="0" hidden="0"/>
    </xf>
    <xf numFmtId="0" fontId="62" fillId="0" borderId="0" applyAlignment="1" applyProtection="1" pivotButton="0" quotePrefix="0" xfId="16">
      <alignment horizontal="center" vertical="top"/>
      <protection locked="0" hidden="0"/>
    </xf>
    <xf numFmtId="0" fontId="64" fillId="0" borderId="0" applyAlignment="1" pivotButton="0" quotePrefix="0" xfId="15">
      <alignment horizontal="center" vertical="center"/>
    </xf>
    <xf numFmtId="0" fontId="13" fillId="0" borderId="0" applyAlignment="1" pivotButton="0" quotePrefix="0" xfId="15">
      <alignment vertical="center"/>
    </xf>
    <xf numFmtId="0" fontId="13" fillId="0" borderId="6" applyAlignment="1" pivotButton="0" quotePrefix="0" xfId="15">
      <alignment vertical="center"/>
    </xf>
    <xf numFmtId="0" fontId="13" fillId="0" borderId="0" applyAlignment="1" pivotButton="0" quotePrefix="0" xfId="17">
      <alignment horizontal="left" vertical="top"/>
    </xf>
    <xf numFmtId="0" fontId="13" fillId="0" borderId="0" applyAlignment="1" applyProtection="1" pivotButton="0" quotePrefix="0" xfId="17">
      <alignment horizontal="center" vertical="center"/>
      <protection locked="0" hidden="0"/>
    </xf>
    <xf numFmtId="0" fontId="13" fillId="0" borderId="3" applyAlignment="1" pivotButton="0" quotePrefix="0" xfId="15">
      <alignment vertical="center"/>
    </xf>
    <xf numFmtId="0" fontId="13" fillId="0" borderId="3" applyAlignment="1" applyProtection="1" pivotButton="0" quotePrefix="0" xfId="17">
      <alignment horizontal="center" vertical="center"/>
      <protection locked="0" hidden="0"/>
    </xf>
    <xf numFmtId="0" fontId="13" fillId="0" borderId="6" applyAlignment="1" applyProtection="1" pivotButton="0" quotePrefix="0" xfId="17">
      <alignment horizontal="center" vertical="center"/>
      <protection locked="0" hidden="0"/>
    </xf>
    <xf numFmtId="0" fontId="13" fillId="0" borderId="0" applyAlignment="1" applyProtection="1" pivotButton="0" quotePrefix="0" xfId="17">
      <alignment horizontal="center" vertical="top"/>
      <protection locked="0" hidden="0"/>
    </xf>
    <xf numFmtId="0" fontId="68" fillId="0" borderId="0" applyAlignment="1" pivotButton="0" quotePrefix="0" xfId="15">
      <alignment horizontal="center" vertical="center"/>
    </xf>
    <xf numFmtId="0" fontId="69" fillId="0" borderId="0" applyAlignment="1" pivotButton="0" quotePrefix="0" xfId="15">
      <alignment vertical="center"/>
    </xf>
    <xf numFmtId="0" fontId="70" fillId="0" borderId="0" applyAlignment="1" pivotButton="0" quotePrefix="0" xfId="15">
      <alignment vertical="center"/>
    </xf>
    <xf numFmtId="0" fontId="69" fillId="0" borderId="6" applyAlignment="1" pivotButton="0" quotePrefix="0" xfId="15">
      <alignment vertical="center"/>
    </xf>
    <xf numFmtId="0" fontId="69" fillId="0" borderId="0" applyAlignment="1" pivotButton="0" quotePrefix="0" xfId="16">
      <alignment horizontal="left" vertical="top"/>
    </xf>
    <xf numFmtId="0" fontId="69" fillId="0" borderId="0" applyAlignment="1" applyProtection="1" pivotButton="0" quotePrefix="0" xfId="16">
      <alignment horizontal="center" vertical="center"/>
      <protection locked="0" hidden="0"/>
    </xf>
    <xf numFmtId="0" fontId="69" fillId="0" borderId="3" applyAlignment="1" pivotButton="0" quotePrefix="0" xfId="15">
      <alignment vertical="center"/>
    </xf>
    <xf numFmtId="0" fontId="69" fillId="0" borderId="3" applyAlignment="1" applyProtection="1" pivotButton="0" quotePrefix="0" xfId="16">
      <alignment horizontal="center" vertical="center"/>
      <protection locked="0" hidden="0"/>
    </xf>
    <xf numFmtId="0" fontId="69" fillId="0" borderId="6" applyAlignment="1" applyProtection="1" pivotButton="0" quotePrefix="0" xfId="16">
      <alignment horizontal="center" vertical="center"/>
      <protection locked="0" hidden="0"/>
    </xf>
    <xf numFmtId="14" fontId="69" fillId="0" borderId="0" applyAlignment="1" pivotButton="0" quotePrefix="0" xfId="15">
      <alignment vertical="center"/>
    </xf>
    <xf numFmtId="181" fontId="65" fillId="0" borderId="0" applyAlignment="1" pivotButton="0" quotePrefix="0" xfId="15">
      <alignment vertical="center" wrapText="1"/>
    </xf>
    <xf numFmtId="181" fontId="65" fillId="0" borderId="0" applyAlignment="1" pivotButton="0" quotePrefix="0" xfId="15">
      <alignment vertical="center"/>
    </xf>
    <xf numFmtId="0" fontId="1" fillId="0" borderId="0" applyAlignment="1" pivotButton="0" quotePrefix="0" xfId="18">
      <alignment vertical="center"/>
    </xf>
    <xf numFmtId="0" fontId="1" fillId="0" borderId="16" applyAlignment="1" pivotButton="0" quotePrefix="0" xfId="18">
      <alignment vertical="center"/>
    </xf>
    <xf numFmtId="0" fontId="74" fillId="0" borderId="0" applyAlignment="1" pivotButton="0" quotePrefix="0" xfId="11">
      <alignment horizontal="center" vertical="center"/>
    </xf>
    <xf numFmtId="0" fontId="75" fillId="0" borderId="0" applyAlignment="1" pivotButton="0" quotePrefix="0" xfId="11">
      <alignment vertical="center"/>
    </xf>
    <xf numFmtId="0" fontId="74" fillId="0" borderId="0" applyAlignment="1" pivotButton="0" quotePrefix="0" xfId="11">
      <alignment vertical="center"/>
    </xf>
    <xf numFmtId="14" fontId="74" fillId="0" borderId="0" applyAlignment="1" pivotButton="0" quotePrefix="0" xfId="11">
      <alignment horizontal="right" vertical="center"/>
    </xf>
    <xf numFmtId="0" fontId="74" fillId="0" borderId="0" applyAlignment="1" pivotButton="0" quotePrefix="0" xfId="11">
      <alignment horizontal="right" vertical="center"/>
    </xf>
    <xf numFmtId="0" fontId="76" fillId="0" borderId="0" applyAlignment="1" pivotButton="0" quotePrefix="0" xfId="11">
      <alignment vertical="center"/>
    </xf>
    <xf numFmtId="0" fontId="74" fillId="0" borderId="12" applyAlignment="1" pivotButton="0" quotePrefix="0" xfId="11">
      <alignment horizontal="center" vertical="center"/>
    </xf>
    <xf numFmtId="0" fontId="78" fillId="0" borderId="3" applyAlignment="1" pivotButton="0" quotePrefix="0" xfId="11">
      <alignment vertical="center"/>
    </xf>
    <xf numFmtId="0" fontId="78" fillId="0" borderId="114" applyAlignment="1" pivotButton="0" quotePrefix="0" xfId="11">
      <alignment vertical="center"/>
    </xf>
    <xf numFmtId="0" fontId="74" fillId="0" borderId="16" applyAlignment="1" pivotButton="0" quotePrefix="0" xfId="11">
      <alignment horizontal="center" vertical="center"/>
    </xf>
    <xf numFmtId="0" fontId="74" fillId="0" borderId="3" applyAlignment="1" pivotButton="0" quotePrefix="0" xfId="11">
      <alignment vertical="center"/>
    </xf>
    <xf numFmtId="0" fontId="74" fillId="0" borderId="114" applyAlignment="1" pivotButton="0" quotePrefix="0" xfId="11">
      <alignment vertical="center"/>
    </xf>
    <xf numFmtId="0" fontId="74" fillId="0" borderId="12" applyAlignment="1" pivotButton="0" quotePrefix="0" xfId="11">
      <alignment vertical="center"/>
    </xf>
    <xf numFmtId="0" fontId="76" fillId="0" borderId="3" applyAlignment="1" pivotButton="0" quotePrefix="0" xfId="11">
      <alignment horizontal="right" vertical="center"/>
    </xf>
    <xf numFmtId="0" fontId="76" fillId="0" borderId="114" applyAlignment="1" pivotButton="0" quotePrefix="0" xfId="11">
      <alignment horizontal="right" vertical="center"/>
    </xf>
    <xf numFmtId="0" fontId="74" fillId="0" borderId="2" applyAlignment="1" pivotButton="0" quotePrefix="0" xfId="11">
      <alignment horizontal="center" vertical="center"/>
    </xf>
    <xf numFmtId="0" fontId="74" fillId="0" borderId="118" applyAlignment="1" pivotButton="0" quotePrefix="0" xfId="11">
      <alignment horizontal="center" vertical="center"/>
    </xf>
    <xf numFmtId="0" fontId="74" fillId="0" borderId="0" applyAlignment="1" pivotButton="0" quotePrefix="0" xfId="11">
      <alignment horizontal="left" vertical="center" wrapText="1"/>
    </xf>
    <xf numFmtId="0" fontId="74" fillId="0" borderId="0" applyAlignment="1" pivotButton="0" quotePrefix="0" xfId="11">
      <alignment horizontal="left" vertical="center"/>
    </xf>
    <xf numFmtId="0" fontId="79" fillId="0" borderId="0" applyAlignment="1" pivotButton="0" quotePrefix="0" xfId="11">
      <alignment horizontal="left" vertical="center"/>
    </xf>
    <xf numFmtId="0" fontId="74" fillId="0" borderId="6" applyAlignment="1" pivotButton="0" quotePrefix="0" xfId="11">
      <alignment vertical="center"/>
    </xf>
    <xf numFmtId="0" fontId="75" fillId="0" borderId="6" applyAlignment="1" pivotButton="0" quotePrefix="0" xfId="11">
      <alignment vertical="center"/>
    </xf>
    <xf numFmtId="0" fontId="80" fillId="0" borderId="6" applyAlignment="1" pivotButton="0" quotePrefix="0" xfId="11">
      <alignment horizontal="left" vertical="center"/>
    </xf>
    <xf numFmtId="0" fontId="81" fillId="0" borderId="0" applyAlignment="1" pivotButton="0" quotePrefix="0" xfId="11">
      <alignment vertical="center"/>
    </xf>
    <xf numFmtId="0" fontId="82" fillId="0" borderId="0" applyAlignment="1" pivotButton="0" quotePrefix="0" xfId="11">
      <alignment vertical="center"/>
    </xf>
    <xf numFmtId="0" fontId="83" fillId="0" borderId="0" applyAlignment="1" pivotButton="0" quotePrefix="0" xfId="18">
      <alignment vertical="center"/>
    </xf>
    <xf numFmtId="0" fontId="83" fillId="0" borderId="21" applyAlignment="1" pivotButton="0" quotePrefix="0" xfId="18">
      <alignment horizontal="right" vertical="center"/>
    </xf>
    <xf numFmtId="0" fontId="83" fillId="0" borderId="21" applyAlignment="1" pivotButton="0" quotePrefix="0" xfId="18">
      <alignment vertical="center"/>
    </xf>
    <xf numFmtId="0" fontId="83" fillId="0" borderId="75" applyAlignment="1" pivotButton="0" quotePrefix="0" xfId="18">
      <alignment vertical="center"/>
    </xf>
    <xf numFmtId="0" fontId="83" fillId="0" borderId="15" applyAlignment="1" pivotButton="0" quotePrefix="0" xfId="18">
      <alignment vertical="center"/>
    </xf>
    <xf numFmtId="0" fontId="83" fillId="0" borderId="3" applyAlignment="1" pivotButton="0" quotePrefix="0" xfId="18">
      <alignment vertical="center"/>
    </xf>
    <xf numFmtId="0" fontId="1" fillId="0" borderId="3" applyAlignment="1" pivotButton="0" quotePrefix="0" xfId="18">
      <alignment vertical="center"/>
    </xf>
    <xf numFmtId="0" fontId="1" fillId="0" borderId="18" applyAlignment="1" pivotButton="0" quotePrefix="0" xfId="18">
      <alignment vertical="center"/>
    </xf>
    <xf numFmtId="0" fontId="1" fillId="0" borderId="22" applyAlignment="1" pivotButton="0" quotePrefix="0" xfId="18">
      <alignment vertical="center"/>
    </xf>
    <xf numFmtId="0" fontId="83" fillId="0" borderId="21" applyAlignment="1" pivotButton="0" quotePrefix="0" xfId="18">
      <alignment horizontal="centerContinuous" vertical="center"/>
    </xf>
    <xf numFmtId="0" fontId="83" fillId="0" borderId="16" applyAlignment="1" pivotButton="0" quotePrefix="0" xfId="18">
      <alignment horizontal="centerContinuous" vertical="center"/>
    </xf>
    <xf numFmtId="0" fontId="83" fillId="0" borderId="20" applyAlignment="1" pivotButton="0" quotePrefix="0" xfId="18">
      <alignment horizontal="centerContinuous" vertical="center"/>
    </xf>
    <xf numFmtId="0" fontId="83" fillId="0" borderId="16" applyAlignment="1" pivotButton="0" quotePrefix="0" xfId="18">
      <alignment vertical="center"/>
    </xf>
    <xf numFmtId="0" fontId="83" fillId="0" borderId="0" applyAlignment="1" pivotButton="0" quotePrefix="0" xfId="18">
      <alignment horizontal="centerContinuous" vertical="center"/>
    </xf>
    <xf numFmtId="0" fontId="1" fillId="0" borderId="21" applyAlignment="1" pivotButton="0" quotePrefix="0" xfId="18">
      <alignment vertical="center"/>
    </xf>
    <xf numFmtId="0" fontId="83" fillId="0" borderId="6" applyAlignment="1" pivotButton="0" quotePrefix="0" xfId="18">
      <alignment horizontal="centerContinuous" vertical="center"/>
    </xf>
    <xf numFmtId="0" fontId="83" fillId="0" borderId="22" applyAlignment="1" pivotButton="0" quotePrefix="0" xfId="18">
      <alignment horizontal="centerContinuous" vertical="center"/>
    </xf>
    <xf numFmtId="0" fontId="83" fillId="0" borderId="12" applyAlignment="1" pivotButton="0" quotePrefix="0" xfId="18">
      <alignment horizontal="centerContinuous" vertical="center"/>
    </xf>
    <xf numFmtId="0" fontId="83" fillId="0" borderId="3" applyAlignment="1" pivotButton="0" quotePrefix="0" xfId="18">
      <alignment horizontal="centerContinuous" vertical="center"/>
    </xf>
    <xf numFmtId="0" fontId="83" fillId="0" borderId="18" applyAlignment="1" pivotButton="0" quotePrefix="0" xfId="18">
      <alignment horizontal="centerContinuous" vertical="center"/>
    </xf>
    <xf numFmtId="0" fontId="83" fillId="13" borderId="16" applyAlignment="1" pivotButton="0" quotePrefix="0" xfId="18">
      <alignment vertical="center"/>
    </xf>
    <xf numFmtId="0" fontId="1" fillId="13" borderId="16" applyAlignment="1" pivotButton="0" quotePrefix="0" xfId="18">
      <alignment vertical="center"/>
    </xf>
    <xf numFmtId="0" fontId="1" fillId="13" borderId="20" applyAlignment="1" pivotButton="0" quotePrefix="0" xfId="18">
      <alignment vertical="center"/>
    </xf>
    <xf numFmtId="0" fontId="83" fillId="13" borderId="0" applyAlignment="1" pivotButton="0" quotePrefix="0" xfId="18">
      <alignment vertical="center"/>
    </xf>
    <xf numFmtId="0" fontId="1" fillId="13" borderId="0" applyAlignment="1" pivotButton="0" quotePrefix="0" xfId="18">
      <alignment vertical="center"/>
    </xf>
    <xf numFmtId="0" fontId="1" fillId="13" borderId="21" applyAlignment="1" pivotButton="0" quotePrefix="0" xfId="18">
      <alignment vertical="center"/>
    </xf>
    <xf numFmtId="0" fontId="83" fillId="13" borderId="6" applyAlignment="1" pivotButton="0" quotePrefix="0" xfId="18">
      <alignment vertical="center"/>
    </xf>
    <xf numFmtId="0" fontId="1" fillId="13" borderId="6" applyAlignment="1" pivotButton="0" quotePrefix="0" xfId="18">
      <alignment vertical="center"/>
    </xf>
    <xf numFmtId="0" fontId="1" fillId="13" borderId="22" applyAlignment="1" pivotButton="0" quotePrefix="0" xfId="18">
      <alignment vertical="center"/>
    </xf>
    <xf numFmtId="0" fontId="83" fillId="13" borderId="12" applyAlignment="1" pivotButton="0" quotePrefix="0" xfId="18">
      <alignment horizontal="centerContinuous" vertical="center"/>
    </xf>
    <xf numFmtId="0" fontId="1" fillId="13" borderId="3" applyAlignment="1" pivotButton="0" quotePrefix="0" xfId="18">
      <alignment horizontal="centerContinuous" vertical="center"/>
    </xf>
    <xf numFmtId="0" fontId="1" fillId="13" borderId="18" applyAlignment="1" pivotButton="0" quotePrefix="0" xfId="18">
      <alignment horizontal="centerContinuous" vertical="center"/>
    </xf>
    <xf numFmtId="0" fontId="83" fillId="0" borderId="15" applyAlignment="1" pivotButton="0" quotePrefix="0" xfId="18">
      <alignment horizontal="centerContinuous" vertical="center"/>
    </xf>
    <xf numFmtId="0" fontId="83" fillId="10" borderId="12" applyAlignment="1" pivotButton="0" quotePrefix="0" xfId="18">
      <alignment horizontal="centerContinuous" vertical="center"/>
    </xf>
    <xf numFmtId="0" fontId="1" fillId="10" borderId="3" applyAlignment="1" pivotButton="0" quotePrefix="0" xfId="18">
      <alignment horizontal="centerContinuous" vertical="center"/>
    </xf>
    <xf numFmtId="0" fontId="1" fillId="10" borderId="18" applyAlignment="1" pivotButton="0" quotePrefix="0" xfId="18">
      <alignment horizontal="centerContinuous" vertical="center"/>
    </xf>
    <xf numFmtId="0" fontId="83" fillId="13" borderId="13" applyAlignment="1" pivotButton="0" quotePrefix="0" xfId="18">
      <alignment vertical="center"/>
    </xf>
    <xf numFmtId="0" fontId="83" fillId="13" borderId="12" applyAlignment="1" pivotButton="0" quotePrefix="0" xfId="18">
      <alignment vertical="center"/>
    </xf>
    <xf numFmtId="0" fontId="83" fillId="13" borderId="3" applyAlignment="1" pivotButton="0" quotePrefix="0" xfId="18">
      <alignment vertical="center"/>
    </xf>
    <xf numFmtId="0" fontId="83" fillId="13" borderId="3" applyAlignment="1" pivotButton="0" quotePrefix="0" xfId="18">
      <alignment horizontal="centerContinuous" vertical="center"/>
    </xf>
    <xf numFmtId="0" fontId="83" fillId="13" borderId="18" applyAlignment="1" pivotButton="0" quotePrefix="0" xfId="18">
      <alignment horizontal="centerContinuous" vertical="center"/>
    </xf>
    <xf numFmtId="0" fontId="83" fillId="0" borderId="2" applyAlignment="1" pivotButton="0" quotePrefix="0" xfId="18">
      <alignment horizontal="centerContinuous" vertical="center"/>
    </xf>
    <xf numFmtId="0" fontId="83" fillId="0" borderId="7" applyAlignment="1" pivotButton="0" quotePrefix="0" xfId="18">
      <alignment horizontal="centerContinuous" vertical="center"/>
    </xf>
    <xf numFmtId="20" fontId="83" fillId="13" borderId="12" applyAlignment="1" pivotButton="0" quotePrefix="0" xfId="18">
      <alignment horizontal="centerContinuous" vertical="center"/>
    </xf>
    <xf numFmtId="14" fontId="83" fillId="13" borderId="12" applyAlignment="1" pivotButton="0" quotePrefix="0" xfId="18">
      <alignment horizontal="centerContinuous" vertical="center"/>
    </xf>
    <xf numFmtId="0" fontId="1" fillId="13" borderId="6" applyAlignment="1" pivotButton="0" quotePrefix="0" xfId="18">
      <alignment horizontal="centerContinuous" vertical="center"/>
    </xf>
    <xf numFmtId="0" fontId="1" fillId="13" borderId="22" applyAlignment="1" pivotButton="0" quotePrefix="0" xfId="18">
      <alignment horizontal="centerContinuous" vertical="center"/>
    </xf>
    <xf numFmtId="0" fontId="83" fillId="13" borderId="6" applyAlignment="1" pivotButton="0" quotePrefix="0" xfId="18">
      <alignment horizontal="centerContinuous" vertical="center"/>
    </xf>
    <xf numFmtId="0" fontId="1" fillId="0" borderId="75" applyAlignment="1" pivotButton="0" quotePrefix="0" xfId="18">
      <alignment vertical="center"/>
    </xf>
    <xf numFmtId="0" fontId="1" fillId="0" borderId="7" applyAlignment="1" pivotButton="0" quotePrefix="0" xfId="18">
      <alignment vertical="center"/>
    </xf>
    <xf numFmtId="182" fontId="83" fillId="0" borderId="3" applyAlignment="1" pivotButton="0" quotePrefix="0" xfId="18">
      <alignment horizontal="centerContinuous" vertical="center"/>
    </xf>
    <xf numFmtId="182" fontId="83" fillId="0" borderId="12" applyAlignment="1" pivotButton="0" quotePrefix="0" xfId="18">
      <alignment horizontal="centerContinuous" vertical="center"/>
    </xf>
    <xf numFmtId="0" fontId="83" fillId="0" borderId="126" applyAlignment="1" pivotButton="0" quotePrefix="0" xfId="18">
      <alignment horizontal="centerContinuous" vertical="center"/>
    </xf>
    <xf numFmtId="0" fontId="83" fillId="0" borderId="127" applyAlignment="1" pivotButton="0" quotePrefix="0" xfId="18">
      <alignment horizontal="centerContinuous" vertical="center"/>
    </xf>
    <xf numFmtId="183" fontId="83" fillId="13" borderId="32" applyAlignment="1" pivotButton="0" quotePrefix="0" xfId="18">
      <alignment vertical="center"/>
    </xf>
    <xf numFmtId="0" fontId="83" fillId="13" borderId="130" applyAlignment="1" pivotButton="0" quotePrefix="0" xfId="18">
      <alignment vertical="center"/>
    </xf>
    <xf numFmtId="0" fontId="83" fillId="13" borderId="125" applyAlignment="1" pivotButton="0" quotePrefix="0" xfId="18">
      <alignment vertical="center"/>
    </xf>
    <xf numFmtId="0" fontId="83" fillId="13" borderId="131" applyAlignment="1" pivotButton="0" quotePrefix="0" xfId="18">
      <alignment vertical="center"/>
    </xf>
    <xf numFmtId="0" fontId="83" fillId="13" borderId="22" applyAlignment="1" pivotButton="0" quotePrefix="0" xfId="18">
      <alignment vertical="center"/>
    </xf>
    <xf numFmtId="20" fontId="83" fillId="10" borderId="12" applyAlignment="1" pivotButton="0" quotePrefix="0" xfId="18">
      <alignment horizontal="centerContinuous" vertical="center"/>
    </xf>
    <xf numFmtId="0" fontId="83" fillId="10" borderId="3" applyAlignment="1" pivotButton="0" quotePrefix="0" xfId="18">
      <alignment horizontal="centerContinuous" vertical="center"/>
    </xf>
    <xf numFmtId="0" fontId="83" fillId="10" borderId="18" applyAlignment="1" pivotButton="0" quotePrefix="0" xfId="18">
      <alignment horizontal="centerContinuous" vertical="center"/>
    </xf>
    <xf numFmtId="0" fontId="83" fillId="10" borderId="18" applyAlignment="1" pivotButton="0" quotePrefix="0" xfId="18">
      <alignment vertical="center"/>
    </xf>
    <xf numFmtId="183" fontId="84" fillId="13" borderId="128" applyAlignment="1" pivotButton="0" quotePrefix="0" xfId="18">
      <alignment vertical="center"/>
    </xf>
    <xf numFmtId="183" fontId="84" fillId="13" borderId="12" applyAlignment="1" pivotButton="0" quotePrefix="0" xfId="18">
      <alignment horizontal="right" vertical="center"/>
    </xf>
    <xf numFmtId="183" fontId="84" fillId="13" borderId="6" applyAlignment="1" pivotButton="0" quotePrefix="0" xfId="18">
      <alignment horizontal="right" vertical="center"/>
    </xf>
    <xf numFmtId="183" fontId="84" fillId="0" borderId="128" applyAlignment="1" pivotButton="0" quotePrefix="0" xfId="18">
      <alignment vertical="center"/>
    </xf>
    <xf numFmtId="183" fontId="83" fillId="0" borderId="32" applyAlignment="1" pivotButton="0" quotePrefix="0" xfId="18">
      <alignment vertical="center"/>
    </xf>
    <xf numFmtId="183" fontId="83" fillId="0" borderId="129" applyAlignment="1" pivotButton="0" quotePrefix="0" xfId="18">
      <alignment vertical="center"/>
    </xf>
    <xf numFmtId="183" fontId="84" fillId="0" borderId="6" applyAlignment="1" pivotButton="0" quotePrefix="0" xfId="18">
      <alignment horizontal="right" vertical="center"/>
    </xf>
    <xf numFmtId="0" fontId="1" fillId="0" borderId="6" applyAlignment="1" pivotButton="0" quotePrefix="0" xfId="18">
      <alignment horizontal="centerContinuous" vertical="center"/>
    </xf>
    <xf numFmtId="0" fontId="1" fillId="0" borderId="22" applyAlignment="1" pivotButton="0" quotePrefix="0" xfId="18">
      <alignment horizontal="centerContinuous" vertical="center"/>
    </xf>
    <xf numFmtId="183" fontId="84" fillId="0" borderId="12" applyAlignment="1" pivotButton="0" quotePrefix="0" xfId="18">
      <alignment horizontal="right" vertical="center"/>
    </xf>
    <xf numFmtId="0" fontId="1" fillId="0" borderId="3" applyAlignment="1" pivotButton="0" quotePrefix="0" xfId="18">
      <alignment horizontal="centerContinuous" vertical="center"/>
    </xf>
    <xf numFmtId="0" fontId="1" fillId="0" borderId="18" applyAlignment="1" pivotButton="0" quotePrefix="0" xfId="18">
      <alignment horizontal="centerContinuous" vertical="center"/>
    </xf>
    <xf numFmtId="0" fontId="1" fillId="0" borderId="15" applyAlignment="1" pivotButton="0" quotePrefix="0" xfId="18">
      <alignment vertical="center"/>
    </xf>
    <xf numFmtId="0" fontId="83" fillId="0" borderId="3" applyAlignment="1" pivotButton="0" quotePrefix="0" xfId="18">
      <alignment horizontal="right" vertical="center"/>
    </xf>
    <xf numFmtId="183" fontId="85" fillId="0" borderId="129" applyAlignment="1" pivotButton="0" quotePrefix="0" xfId="18">
      <alignment vertical="center"/>
    </xf>
    <xf numFmtId="183" fontId="84" fillId="0" borderId="129" applyAlignment="1" pivotButton="0" quotePrefix="0" xfId="18">
      <alignment vertical="center"/>
    </xf>
    <xf numFmtId="0" fontId="83" fillId="6" borderId="3" applyAlignment="1" pivotButton="0" quotePrefix="0" xfId="18">
      <alignment vertical="center"/>
    </xf>
    <xf numFmtId="0" fontId="83" fillId="6" borderId="18" applyAlignment="1" pivotButton="0" quotePrefix="0" xfId="18">
      <alignment vertical="center"/>
    </xf>
    <xf numFmtId="0" fontId="83" fillId="6" borderId="12" applyAlignment="1" pivotButton="0" quotePrefix="0" xfId="18">
      <alignment vertical="center"/>
    </xf>
    <xf numFmtId="183" fontId="84" fillId="6" borderId="128" applyAlignment="1" pivotButton="0" quotePrefix="0" xfId="18">
      <alignment vertical="center"/>
    </xf>
    <xf numFmtId="183" fontId="83" fillId="6" borderId="32" applyAlignment="1" pivotButton="0" quotePrefix="0" xfId="18">
      <alignment vertical="center"/>
    </xf>
    <xf numFmtId="183" fontId="83" fillId="6" borderId="129" applyAlignment="1" pivotButton="0" quotePrefix="0" xfId="18">
      <alignment vertical="center"/>
    </xf>
    <xf numFmtId="0" fontId="83" fillId="6" borderId="13" applyAlignment="1" pivotButton="0" quotePrefix="0" xfId="18">
      <alignment vertical="center"/>
    </xf>
    <xf numFmtId="0" fontId="83" fillId="6" borderId="6" applyAlignment="1" pivotButton="0" quotePrefix="0" xfId="18">
      <alignment vertical="center"/>
    </xf>
    <xf numFmtId="0" fontId="83" fillId="6" borderId="22" applyAlignment="1" pivotButton="0" quotePrefix="0" xfId="18">
      <alignment vertical="center"/>
    </xf>
    <xf numFmtId="173" fontId="22" fillId="0" borderId="73" applyAlignment="1" applyProtection="1" pivotButton="0" quotePrefix="0" xfId="0">
      <alignment horizontal="center" vertical="center"/>
      <protection locked="0" hidden="0"/>
    </xf>
    <xf numFmtId="0" fontId="22" fillId="0" borderId="132" applyAlignment="1" applyProtection="1" pivotButton="0" quotePrefix="0" xfId="0">
      <alignment vertical="center" shrinkToFit="1"/>
      <protection locked="0" hidden="0"/>
    </xf>
    <xf numFmtId="10" fontId="22" fillId="10" borderId="78" applyAlignment="1" applyProtection="1" pivotButton="0" quotePrefix="0" xfId="0">
      <alignment vertical="center"/>
      <protection locked="0" hidden="0"/>
    </xf>
    <xf numFmtId="0" fontId="22" fillId="0" borderId="133" applyAlignment="1" applyProtection="1" pivotButton="0" quotePrefix="0" xfId="0">
      <alignment vertical="center"/>
      <protection locked="0" hidden="0"/>
    </xf>
    <xf numFmtId="37" fontId="22" fillId="0" borderId="73" applyAlignment="1" applyProtection="1" pivotButton="0" quotePrefix="0" xfId="0">
      <alignment vertical="center"/>
      <protection locked="0" hidden="0"/>
    </xf>
    <xf numFmtId="37" fontId="22" fillId="0" borderId="77" applyAlignment="1" applyProtection="1" pivotButton="0" quotePrefix="0" xfId="0">
      <alignment vertical="center"/>
      <protection locked="0" hidden="0"/>
    </xf>
    <xf numFmtId="173" fontId="22" fillId="0" borderId="134" applyAlignment="1" applyProtection="1" pivotButton="0" quotePrefix="0" xfId="0">
      <alignment horizontal="center" vertical="center" shrinkToFit="1"/>
      <protection locked="0" hidden="0"/>
    </xf>
    <xf numFmtId="37" fontId="22" fillId="10" borderId="56" applyAlignment="1" applyProtection="1" pivotButton="0" quotePrefix="0" xfId="0">
      <alignment vertical="center"/>
      <protection locked="0" hidden="0"/>
    </xf>
    <xf numFmtId="184" fontId="22" fillId="10" borderId="5" applyAlignment="1" applyProtection="1" pivotButton="0" quotePrefix="0" xfId="0">
      <alignment horizontal="left" vertical="center"/>
      <protection locked="0" hidden="0"/>
    </xf>
    <xf numFmtId="0" fontId="22" fillId="10" borderId="54" applyAlignment="1" applyProtection="1" pivotButton="0" quotePrefix="0" xfId="0">
      <alignment horizontal="left" vertical="center"/>
      <protection locked="0" hidden="0"/>
    </xf>
    <xf numFmtId="0" fontId="25" fillId="0" borderId="59" applyAlignment="1" applyProtection="1" pivotButton="0" quotePrefix="0" xfId="0">
      <alignment horizontal="left" vertical="center"/>
      <protection locked="0" hidden="0"/>
    </xf>
    <xf numFmtId="0" fontId="25" fillId="0" borderId="77" applyAlignment="1" applyProtection="1" pivotButton="0" quotePrefix="0" xfId="0">
      <alignment horizontal="left" vertical="center"/>
      <protection locked="0" hidden="0"/>
    </xf>
    <xf numFmtId="185" fontId="25" fillId="0" borderId="53" applyAlignment="1" applyProtection="1" pivotButton="0" quotePrefix="0" xfId="3">
      <alignment vertical="center"/>
      <protection locked="0" hidden="0"/>
    </xf>
    <xf numFmtId="14" fontId="86" fillId="0" borderId="0" applyAlignment="1" applyProtection="1" pivotButton="0" quotePrefix="0" xfId="0">
      <alignment vertical="center"/>
      <protection locked="0" hidden="0"/>
    </xf>
    <xf numFmtId="14" fontId="87" fillId="0" borderId="0" applyAlignment="1" applyProtection="1" pivotButton="0" quotePrefix="0" xfId="0">
      <alignment vertical="center"/>
      <protection locked="0" hidden="0"/>
    </xf>
    <xf numFmtId="173" fontId="16" fillId="5" borderId="0" applyAlignment="1" pivotButton="0" quotePrefix="0" xfId="5">
      <alignment horizontal="right" shrinkToFit="1"/>
    </xf>
    <xf numFmtId="0" fontId="16" fillId="9" borderId="0" pivotButton="0" quotePrefix="0" xfId="5"/>
    <xf numFmtId="186" fontId="22" fillId="0" borderId="0" applyAlignment="1" applyProtection="1" pivotButton="0" quotePrefix="0" xfId="0">
      <alignment vertical="center"/>
      <protection locked="0" hidden="0"/>
    </xf>
    <xf numFmtId="0" fontId="22" fillId="0" borderId="0" pivotButton="0" quotePrefix="0" xfId="0"/>
    <xf numFmtId="165" fontId="22" fillId="10" borderId="0" applyAlignment="1" applyProtection="1" pivotButton="0" quotePrefix="0" xfId="2">
      <alignment vertical="center"/>
      <protection locked="0" hidden="0"/>
    </xf>
    <xf numFmtId="165" fontId="22" fillId="5" borderId="0" applyAlignment="1" applyProtection="1" pivotButton="0" quotePrefix="0" xfId="0">
      <alignment vertical="center"/>
      <protection locked="0" hidden="0"/>
    </xf>
    <xf numFmtId="0" fontId="24" fillId="0" borderId="0" applyAlignment="1" applyProtection="1" pivotButton="0" quotePrefix="0" xfId="0">
      <alignment horizontal="right" vertical="center"/>
      <protection locked="0" hidden="0"/>
    </xf>
    <xf numFmtId="37" fontId="21" fillId="0" borderId="0" applyAlignment="1" applyProtection="1" pivotButton="0" quotePrefix="0" xfId="0">
      <alignment vertical="center"/>
      <protection locked="0" hidden="0"/>
    </xf>
    <xf numFmtId="0" fontId="14" fillId="0" borderId="0" applyAlignment="1" pivotButton="0" quotePrefix="0" xfId="0">
      <alignment vertical="center" shrinkToFit="1"/>
    </xf>
    <xf numFmtId="0" fontId="21" fillId="0" borderId="0" applyAlignment="1" applyProtection="1" pivotButton="0" quotePrefix="0" xfId="0">
      <alignment vertical="center" shrinkToFit="1"/>
      <protection locked="0" hidden="0"/>
    </xf>
    <xf numFmtId="10" fontId="25" fillId="10" borderId="5" applyAlignment="1" applyProtection="1" pivotButton="0" quotePrefix="0" xfId="0">
      <alignment horizontal="left" vertical="center"/>
      <protection locked="0" hidden="0"/>
    </xf>
    <xf numFmtId="185" fontId="25" fillId="10" borderId="5" applyAlignment="1" applyProtection="1" pivotButton="0" quotePrefix="0" xfId="3">
      <alignment horizontal="left" vertical="center"/>
      <protection locked="0" hidden="0"/>
    </xf>
    <xf numFmtId="187" fontId="22" fillId="10" borderId="78" applyAlignment="1" applyProtection="1" pivotButton="0" quotePrefix="0" xfId="0">
      <alignment vertical="center"/>
      <protection locked="0" hidden="0"/>
    </xf>
    <xf numFmtId="0" fontId="1" fillId="13" borderId="2" applyAlignment="1" pivotButton="0" quotePrefix="0" xfId="5">
      <alignment horizontal="center" vertical="center" shrinkToFit="1"/>
    </xf>
    <xf numFmtId="0" fontId="1" fillId="0" borderId="0" pivotButton="0" quotePrefix="0" xfId="5"/>
    <xf numFmtId="9" fontId="22" fillId="0" borderId="53" applyAlignment="1" applyProtection="1" pivotButton="0" quotePrefix="0" xfId="0">
      <alignment vertical="center"/>
      <protection locked="0" hidden="0"/>
    </xf>
    <xf numFmtId="9" fontId="21" fillId="0" borderId="0" applyAlignment="1" applyProtection="1" pivotButton="0" quotePrefix="0" xfId="1">
      <alignment vertical="center"/>
      <protection locked="0" hidden="0"/>
    </xf>
    <xf numFmtId="2" fontId="12" fillId="10" borderId="12" applyAlignment="1" pivotButton="0" quotePrefix="0" xfId="5">
      <alignment shrinkToFit="1"/>
    </xf>
    <xf numFmtId="166" fontId="22" fillId="0" borderId="17" applyAlignment="1" applyProtection="1" pivotButton="0" quotePrefix="0" xfId="0">
      <alignment vertical="center"/>
      <protection locked="0" hidden="0"/>
    </xf>
    <xf numFmtId="176" fontId="22" fillId="0" borderId="0" applyAlignment="1" applyProtection="1" pivotButton="0" quotePrefix="0" xfId="0">
      <alignment vertical="center"/>
      <protection locked="0" hidden="0"/>
    </xf>
    <xf numFmtId="9" fontId="22" fillId="10" borderId="78" applyAlignment="1" applyProtection="1" pivotButton="0" quotePrefix="0" xfId="1">
      <alignment vertical="center"/>
      <protection locked="0" hidden="0"/>
    </xf>
    <xf numFmtId="0" fontId="22" fillId="0" borderId="73" applyAlignment="1" applyProtection="1" pivotButton="0" quotePrefix="0" xfId="0">
      <alignment vertical="center"/>
      <protection locked="0" hidden="0"/>
    </xf>
    <xf numFmtId="173" fontId="22" fillId="0" borderId="134" applyAlignment="1" applyProtection="1" pivotButton="0" quotePrefix="0" xfId="0">
      <alignment horizontal="left" vertical="center" shrinkToFit="1"/>
      <protection locked="0" hidden="0"/>
    </xf>
    <xf numFmtId="0" fontId="22" fillId="0" borderId="44" applyAlignment="1" applyProtection="1" pivotButton="0" quotePrefix="0" xfId="0">
      <alignment horizontal="left" vertical="center" shrinkToFit="1"/>
      <protection locked="0" hidden="0"/>
    </xf>
    <xf numFmtId="38" fontId="22" fillId="0" borderId="5" applyAlignment="1" applyProtection="1" pivotButton="0" quotePrefix="0" xfId="2">
      <alignment vertical="center"/>
      <protection locked="0" hidden="0"/>
    </xf>
    <xf numFmtId="9" fontId="22" fillId="0" borderId="5" applyAlignment="1" applyProtection="1" pivotButton="0" quotePrefix="0" xfId="1">
      <alignment vertical="center"/>
      <protection locked="0" hidden="0"/>
    </xf>
    <xf numFmtId="37" fontId="22" fillId="3" borderId="59" applyAlignment="1" applyProtection="1" pivotButton="0" quotePrefix="0" xfId="0">
      <alignment horizontal="right" vertical="center"/>
      <protection locked="0" hidden="0"/>
    </xf>
    <xf numFmtId="14" fontId="22" fillId="0" borderId="56" applyAlignment="1" applyProtection="1" pivotButton="0" quotePrefix="0" xfId="0">
      <alignment horizontal="center" vertical="center" wrapText="1"/>
      <protection locked="0" hidden="0"/>
    </xf>
    <xf numFmtId="9" fontId="22" fillId="0" borderId="5" applyAlignment="1" applyProtection="1" pivotButton="0" quotePrefix="0" xfId="0">
      <alignment horizontal="left" vertical="center"/>
      <protection locked="0" hidden="0"/>
    </xf>
    <xf numFmtId="0" fontId="22" fillId="0" borderId="1" applyAlignment="1" applyProtection="1" pivotButton="0" quotePrefix="0" xfId="0">
      <alignment vertical="center"/>
      <protection locked="0" hidden="0"/>
    </xf>
    <xf numFmtId="38" fontId="22" fillId="0" borderId="1" applyAlignment="1" applyProtection="1" pivotButton="0" quotePrefix="0" xfId="2">
      <alignment vertical="center"/>
      <protection locked="0" hidden="0"/>
    </xf>
    <xf numFmtId="0" fontId="22" fillId="0" borderId="135" applyAlignment="1" applyProtection="1" pivotButton="0" quotePrefix="0" xfId="0">
      <alignment vertical="center"/>
      <protection locked="0" hidden="0"/>
    </xf>
    <xf numFmtId="0" fontId="22" fillId="10" borderId="74" applyAlignment="1" applyProtection="1" pivotButton="0" quotePrefix="0" xfId="0">
      <alignment vertical="center"/>
      <protection locked="0" hidden="0"/>
    </xf>
    <xf numFmtId="37" fontId="22" fillId="0" borderId="85" applyAlignment="1" applyProtection="1" pivotButton="0" quotePrefix="0" xfId="0">
      <alignment horizontal="left" vertical="center" shrinkToFit="1"/>
      <protection locked="0" hidden="0"/>
    </xf>
    <xf numFmtId="0" fontId="22" fillId="2" borderId="25" applyAlignment="1" applyProtection="1" pivotButton="0" quotePrefix="0" xfId="0">
      <alignment horizontal="left" vertical="center" shrinkToFit="1"/>
      <protection locked="0" hidden="0"/>
    </xf>
    <xf numFmtId="0" fontId="22" fillId="2" borderId="26" applyAlignment="1" applyProtection="1" pivotButton="0" quotePrefix="0" xfId="0">
      <alignment horizontal="centerContinuous" vertical="center"/>
      <protection locked="0" hidden="0"/>
    </xf>
    <xf numFmtId="0" fontId="22" fillId="2" borderId="137" applyAlignment="1" applyProtection="1" pivotButton="0" quotePrefix="0" xfId="0">
      <alignment horizontal="centerContinuous" vertical="center"/>
      <protection locked="0" hidden="0"/>
    </xf>
    <xf numFmtId="0" fontId="22" fillId="2" borderId="72" applyAlignment="1" applyProtection="1" pivotButton="0" quotePrefix="0" xfId="0">
      <alignment horizontal="center" vertical="center"/>
      <protection locked="0" hidden="0"/>
    </xf>
    <xf numFmtId="0" fontId="22" fillId="2" borderId="72" applyAlignment="1" applyProtection="1" pivotButton="0" quotePrefix="0" xfId="0">
      <alignment horizontal="center" vertical="center" wrapText="1"/>
      <protection locked="0" hidden="0"/>
    </xf>
    <xf numFmtId="0" fontId="22" fillId="2" borderId="138" applyAlignment="1" applyProtection="1" pivotButton="0" quotePrefix="0" xfId="0">
      <alignment horizontal="center" vertical="center" shrinkToFit="1"/>
      <protection locked="0" hidden="0"/>
    </xf>
    <xf numFmtId="0" fontId="22" fillId="0" borderId="81" applyAlignment="1" applyProtection="1" pivotButton="0" quotePrefix="0" xfId="0">
      <alignment vertical="center" shrinkToFit="1"/>
      <protection locked="0" hidden="0"/>
    </xf>
    <xf numFmtId="37" fontId="22" fillId="3" borderId="136" applyAlignment="1" applyProtection="1" pivotButton="0" quotePrefix="0" xfId="0">
      <alignment vertical="center"/>
      <protection locked="0" hidden="0"/>
    </xf>
    <xf numFmtId="0" fontId="22" fillId="0" borderId="102" applyAlignment="1" applyProtection="1" pivotButton="0" quotePrefix="0" xfId="0">
      <alignment vertical="center" shrinkToFit="1"/>
      <protection locked="0" hidden="0"/>
    </xf>
    <xf numFmtId="166" fontId="22" fillId="0" borderId="139" applyAlignment="1" applyProtection="1" pivotButton="0" quotePrefix="0" xfId="0">
      <alignment vertical="center"/>
      <protection locked="0" hidden="0"/>
    </xf>
    <xf numFmtId="0" fontId="22" fillId="0" borderId="140" applyAlignment="1" applyProtection="1" pivotButton="0" quotePrefix="0" xfId="0">
      <alignment vertical="center"/>
      <protection locked="0" hidden="0"/>
    </xf>
    <xf numFmtId="176" fontId="22" fillId="0" borderId="140" applyAlignment="1" applyProtection="1" pivotButton="0" quotePrefix="0" xfId="0">
      <alignment vertical="center"/>
      <protection locked="0" hidden="0"/>
    </xf>
    <xf numFmtId="9" fontId="22" fillId="10" borderId="51" applyAlignment="1" applyProtection="1" pivotButton="0" quotePrefix="0" xfId="1">
      <alignment vertical="center"/>
      <protection locked="0" hidden="0"/>
    </xf>
    <xf numFmtId="37" fontId="22" fillId="0" borderId="100" applyAlignment="1" applyProtection="1" pivotButton="0" quotePrefix="0" xfId="0">
      <alignment horizontal="left" vertical="center" shrinkToFit="1"/>
      <protection locked="0" hidden="0"/>
    </xf>
    <xf numFmtId="0" fontId="22" fillId="0" borderId="102" applyAlignment="1" applyProtection="1" pivotButton="0" quotePrefix="0" xfId="0">
      <alignment horizontal="left" vertical="center" shrinkToFit="1"/>
      <protection locked="0" hidden="0"/>
    </xf>
    <xf numFmtId="49" fontId="22" fillId="0" borderId="100" applyAlignment="1" applyProtection="1" pivotButton="0" quotePrefix="0" xfId="0">
      <alignment horizontal="left" vertical="center" shrinkToFit="1"/>
      <protection locked="0" hidden="0"/>
    </xf>
    <xf numFmtId="37" fontId="22" fillId="10" borderId="136" applyAlignment="1" applyProtection="1" pivotButton="0" quotePrefix="0" xfId="0">
      <alignment vertical="center"/>
      <protection locked="0" hidden="0"/>
    </xf>
    <xf numFmtId="173" fontId="22" fillId="10" borderId="74" applyAlignment="1" applyProtection="1" pivotButton="0" quotePrefix="0" xfId="0">
      <alignment horizontal="center" vertical="center"/>
      <protection locked="0" hidden="0"/>
    </xf>
    <xf numFmtId="37" fontId="22" fillId="0" borderId="59" applyAlignment="1" applyProtection="1" pivotButton="0" quotePrefix="0" xfId="0">
      <alignment horizontal="right" vertical="center"/>
      <protection locked="0" hidden="0"/>
    </xf>
    <xf numFmtId="37" fontId="22" fillId="0" borderId="54" applyAlignment="1" applyProtection="1" pivotButton="0" quotePrefix="0" xfId="0">
      <alignment horizontal="right" vertical="center"/>
      <protection locked="0" hidden="0"/>
    </xf>
    <xf numFmtId="173" fontId="22" fillId="0" borderId="75" applyAlignment="1" applyProtection="1" pivotButton="0" quotePrefix="0" xfId="0">
      <alignment horizontal="center" vertical="center"/>
      <protection locked="0" hidden="0"/>
    </xf>
    <xf numFmtId="173" fontId="22" fillId="0" borderId="73" applyAlignment="1" applyProtection="1" pivotButton="0" quotePrefix="0" xfId="0">
      <alignment horizontal="center" vertical="center"/>
      <protection locked="0" hidden="0"/>
    </xf>
    <xf numFmtId="38" fontId="22" fillId="0" borderId="0" applyAlignment="1" applyProtection="1" pivotButton="0" quotePrefix="0" xfId="2">
      <alignment horizontal="left" vertical="top" wrapText="1"/>
      <protection locked="0" hidden="0"/>
    </xf>
    <xf numFmtId="0" fontId="22" fillId="0" borderId="0" applyAlignment="1" applyProtection="1" pivotButton="0" quotePrefix="0" xfId="0">
      <alignment horizontal="left" vertical="top" wrapText="1"/>
      <protection locked="0" hidden="0"/>
    </xf>
    <xf numFmtId="37" fontId="22" fillId="0" borderId="50" applyAlignment="1" applyProtection="1" pivotButton="0" quotePrefix="0" xfId="0">
      <alignment horizontal="right" vertical="center"/>
      <protection locked="0" hidden="0"/>
    </xf>
    <xf numFmtId="37" fontId="22" fillId="0" borderId="14" applyAlignment="1" applyProtection="1" pivotButton="0" quotePrefix="0" xfId="0">
      <alignment horizontal="right" vertical="center"/>
      <protection locked="0" hidden="0"/>
    </xf>
    <xf numFmtId="9" fontId="22" fillId="0" borderId="0" applyAlignment="1" applyProtection="1" pivotButton="0" quotePrefix="0" xfId="1">
      <alignment horizontal="right" vertical="center"/>
      <protection locked="0" hidden="0"/>
    </xf>
    <xf numFmtId="37" fontId="22" fillId="0" borderId="0" applyAlignment="1" applyProtection="1" pivotButton="0" quotePrefix="0" xfId="0">
      <alignment horizontal="right" vertical="center"/>
      <protection locked="0" hidden="0"/>
    </xf>
    <xf numFmtId="188" fontId="22" fillId="0" borderId="0" applyAlignment="1" applyProtection="1" pivotButton="0" quotePrefix="0" xfId="0">
      <alignment horizontal="right" vertical="center"/>
      <protection locked="0" hidden="0"/>
    </xf>
    <xf numFmtId="39" fontId="22" fillId="0" borderId="0" applyAlignment="1" applyProtection="1" pivotButton="0" quotePrefix="0" xfId="0">
      <alignment horizontal="center" vertical="center"/>
      <protection locked="0" hidden="0"/>
    </xf>
    <xf numFmtId="37" fontId="22" fillId="0" borderId="60" applyAlignment="1" applyProtection="1" pivotButton="0" quotePrefix="0" xfId="0">
      <alignment horizontal="right" vertical="center"/>
      <protection locked="0" hidden="0"/>
    </xf>
    <xf numFmtId="37" fontId="22" fillId="0" borderId="61" applyAlignment="1" applyProtection="1" pivotButton="0" quotePrefix="0" xfId="0">
      <alignment horizontal="right" vertical="center"/>
      <protection locked="0" hidden="0"/>
    </xf>
    <xf numFmtId="37" fontId="22" fillId="0" borderId="77" applyAlignment="1" applyProtection="1" pivotButton="0" quotePrefix="0" xfId="0">
      <alignment horizontal="right" vertical="center"/>
      <protection locked="0" hidden="0"/>
    </xf>
    <xf numFmtId="37" fontId="22" fillId="0" borderId="133" applyAlignment="1" applyProtection="1" pivotButton="0" quotePrefix="0" xfId="0">
      <alignment horizontal="right" vertical="center"/>
      <protection locked="0" hidden="0"/>
    </xf>
    <xf numFmtId="37" fontId="22" fillId="4" borderId="8" applyAlignment="1" applyProtection="1" pivotButton="0" quotePrefix="0" xfId="0">
      <alignment horizontal="center" vertical="center"/>
      <protection locked="0" hidden="0"/>
    </xf>
    <xf numFmtId="37" fontId="22" fillId="4" borderId="71" applyAlignment="1" applyProtection="1" pivotButton="0" quotePrefix="0" xfId="0">
      <alignment horizontal="center" vertical="center"/>
      <protection locked="0" hidden="0"/>
    </xf>
    <xf numFmtId="0" fontId="22" fillId="2" borderId="8" applyAlignment="1" applyProtection="1" pivotButton="0" quotePrefix="0" xfId="0">
      <alignment horizontal="center" vertical="center"/>
      <protection locked="0" hidden="0"/>
    </xf>
    <xf numFmtId="0" fontId="22" fillId="2" borderId="71" applyAlignment="1" applyProtection="1" pivotButton="0" quotePrefix="0" xfId="0">
      <alignment horizontal="center" vertical="center"/>
      <protection locked="0" hidden="0"/>
    </xf>
    <xf numFmtId="173" fontId="22" fillId="0" borderId="141" applyAlignment="1" applyProtection="1" pivotButton="0" quotePrefix="0" xfId="0">
      <alignment horizontal="center" vertical="center"/>
      <protection locked="0" hidden="0"/>
    </xf>
    <xf numFmtId="0" fontId="22" fillId="0" borderId="23" applyAlignment="1" applyProtection="1" pivotButton="0" quotePrefix="0" xfId="0">
      <alignment horizontal="left" vertical="center" shrinkToFit="1"/>
      <protection locked="0" hidden="0"/>
    </xf>
    <xf numFmtId="0" fontId="22" fillId="0" borderId="4" applyAlignment="1" applyProtection="1" pivotButton="0" quotePrefix="0" xfId="0">
      <alignment horizontal="left" vertical="center" shrinkToFit="1"/>
      <protection locked="0" hidden="0"/>
    </xf>
    <xf numFmtId="0" fontId="21" fillId="0" borderId="0" applyAlignment="1" applyProtection="1" pivotButton="0" quotePrefix="0" xfId="0">
      <alignment vertical="center" shrinkToFit="1"/>
      <protection locked="0" hidden="0"/>
    </xf>
    <xf numFmtId="0" fontId="14" fillId="0" borderId="0" applyAlignment="1" pivotButton="0" quotePrefix="0" xfId="0">
      <alignment vertical="center" shrinkToFit="1"/>
    </xf>
    <xf numFmtId="38" fontId="22" fillId="0" borderId="51" applyAlignment="1" applyProtection="1" pivotButton="0" quotePrefix="0" xfId="2">
      <alignment horizontal="center" vertical="center"/>
      <protection locked="0" hidden="0"/>
    </xf>
    <xf numFmtId="38" fontId="22" fillId="0" borderId="50" applyAlignment="1" applyProtection="1" pivotButton="0" quotePrefix="0" xfId="2">
      <alignment horizontal="right" vertical="center"/>
      <protection locked="0" hidden="0"/>
    </xf>
    <xf numFmtId="38" fontId="22" fillId="0" borderId="14" applyAlignment="1" applyProtection="1" pivotButton="0" quotePrefix="0" xfId="2">
      <alignment horizontal="right" vertical="center"/>
      <protection locked="0" hidden="0"/>
    </xf>
    <xf numFmtId="37" fontId="22" fillId="0" borderId="136" applyAlignment="1" applyProtection="1" pivotButton="0" quotePrefix="0" xfId="0">
      <alignment horizontal="right" vertical="center"/>
      <protection locked="0" hidden="0"/>
    </xf>
    <xf numFmtId="37" fontId="22" fillId="0" borderId="135" applyAlignment="1" applyProtection="1" pivotButton="0" quotePrefix="0" xfId="0">
      <alignment horizontal="right" vertical="center"/>
      <protection locked="0" hidden="0"/>
    </xf>
    <xf numFmtId="0" fontId="22" fillId="11" borderId="41" applyAlignment="1" applyProtection="1" pivotButton="0" quotePrefix="0" xfId="0">
      <alignment horizontal="center" vertical="center"/>
      <protection locked="0" hidden="0"/>
    </xf>
    <xf numFmtId="0" fontId="22" fillId="11" borderId="10" applyAlignment="1" applyProtection="1" pivotButton="0" quotePrefix="0" xfId="0">
      <alignment horizontal="center" vertical="center"/>
      <protection locked="0" hidden="0"/>
    </xf>
    <xf numFmtId="0" fontId="22" fillId="2" borderId="25" applyAlignment="1" applyProtection="1" pivotButton="0" quotePrefix="0" xfId="0">
      <alignment horizontal="center" vertical="center" shrinkToFit="1"/>
      <protection locked="0" hidden="0"/>
    </xf>
    <xf numFmtId="0" fontId="22" fillId="2" borderId="26" applyAlignment="1" applyProtection="1" pivotButton="0" quotePrefix="0" xfId="0">
      <alignment horizontal="center" vertical="center" shrinkToFit="1"/>
      <protection locked="0" hidden="0"/>
    </xf>
    <xf numFmtId="0" fontId="22" fillId="2" borderId="27" applyAlignment="1" applyProtection="1" pivotButton="0" quotePrefix="0" xfId="0">
      <alignment horizontal="center" vertical="center" shrinkToFit="1"/>
      <protection locked="0" hidden="0"/>
    </xf>
    <xf numFmtId="39" fontId="15" fillId="0" borderId="42" applyAlignment="1" applyProtection="1" pivotButton="0" quotePrefix="0" xfId="8">
      <alignment horizontal="left" vertical="center"/>
      <protection locked="0" hidden="0"/>
    </xf>
    <xf numFmtId="39" fontId="15" fillId="0" borderId="43" applyAlignment="1" applyProtection="1" pivotButton="0" quotePrefix="0" xfId="8">
      <alignment horizontal="left" vertical="center"/>
      <protection locked="0" hidden="0"/>
    </xf>
    <xf numFmtId="0" fontId="22" fillId="2" borderId="79" applyAlignment="1" applyProtection="1" pivotButton="0" quotePrefix="0" xfId="0">
      <alignment horizontal="center" vertical="center"/>
      <protection locked="0" hidden="0"/>
    </xf>
    <xf numFmtId="0" fontId="22" fillId="2" borderId="137" applyAlignment="1" applyProtection="1" pivotButton="0" quotePrefix="0" xfId="0">
      <alignment horizontal="center" vertical="center"/>
      <protection locked="0" hidden="0"/>
    </xf>
    <xf numFmtId="39" fontId="17" fillId="0" borderId="0" applyAlignment="1" applyProtection="1" pivotButton="0" quotePrefix="0" xfId="8">
      <alignment horizontal="left" vertical="center"/>
      <protection locked="0" hidden="0"/>
    </xf>
    <xf numFmtId="0" fontId="12" fillId="10" borderId="2" applyAlignment="1" pivotButton="0" quotePrefix="0" xfId="5">
      <alignment horizontal="left"/>
    </xf>
    <xf numFmtId="0" fontId="83" fillId="13" borderId="15" applyAlignment="1" pivotButton="0" quotePrefix="0" xfId="18">
      <alignment horizontal="center" vertical="center"/>
    </xf>
    <xf numFmtId="0" fontId="83" fillId="13" borderId="7" applyAlignment="1" pivotButton="0" quotePrefix="0" xfId="18">
      <alignment horizontal="center" vertical="center"/>
    </xf>
    <xf numFmtId="0" fontId="44" fillId="18" borderId="2" applyAlignment="1" applyProtection="1" pivotButton="0" quotePrefix="0" xfId="9">
      <alignment horizontal="left" vertical="center" shrinkToFit="1"/>
      <protection locked="0" hidden="0"/>
    </xf>
    <xf numFmtId="0" fontId="39" fillId="0" borderId="2" applyAlignment="1" pivotButton="0" quotePrefix="0" xfId="9">
      <alignment horizontal="center" vertical="center" shrinkToFit="1"/>
    </xf>
    <xf numFmtId="0" fontId="39" fillId="0" borderId="19" applyAlignment="1" pivotButton="0" quotePrefix="0" xfId="9">
      <alignment horizontal="center" vertical="center" shrinkToFit="1"/>
    </xf>
    <xf numFmtId="0" fontId="39" fillId="0" borderId="16" applyAlignment="1" pivotButton="0" quotePrefix="0" xfId="9">
      <alignment horizontal="center" vertical="center" shrinkToFit="1"/>
    </xf>
    <xf numFmtId="0" fontId="39" fillId="0" borderId="20" applyAlignment="1" pivotButton="0" quotePrefix="0" xfId="9">
      <alignment horizontal="center" vertical="center" shrinkToFit="1"/>
    </xf>
    <xf numFmtId="0" fontId="39" fillId="0" borderId="17" applyAlignment="1" pivotButton="0" quotePrefix="0" xfId="9">
      <alignment horizontal="center" vertical="center" shrinkToFit="1"/>
    </xf>
    <xf numFmtId="0" fontId="39" fillId="0" borderId="0" applyAlignment="1" pivotButton="0" quotePrefix="0" xfId="9">
      <alignment horizontal="center" vertical="center" shrinkToFit="1"/>
    </xf>
    <xf numFmtId="0" fontId="39" fillId="0" borderId="21" applyAlignment="1" pivotButton="0" quotePrefix="0" xfId="9">
      <alignment horizontal="center" vertical="center" shrinkToFit="1"/>
    </xf>
    <xf numFmtId="0" fontId="39" fillId="0" borderId="13" applyAlignment="1" pivotButton="0" quotePrefix="0" xfId="9">
      <alignment horizontal="center" vertical="center" shrinkToFit="1"/>
    </xf>
    <xf numFmtId="0" fontId="39" fillId="0" borderId="6" applyAlignment="1" pivotButton="0" quotePrefix="0" xfId="9">
      <alignment horizontal="center" vertical="center" shrinkToFit="1"/>
    </xf>
    <xf numFmtId="0" fontId="39" fillId="0" borderId="22" applyAlignment="1" pivotButton="0" quotePrefix="0" xfId="9">
      <alignment horizontal="center" vertical="center" shrinkToFit="1"/>
    </xf>
    <xf numFmtId="0" fontId="51" fillId="18" borderId="19" applyAlignment="1" applyProtection="1" pivotButton="0" quotePrefix="0" xfId="9">
      <alignment horizontal="left" vertical="top" wrapText="1"/>
      <protection locked="0" hidden="0"/>
    </xf>
    <xf numFmtId="0" fontId="51" fillId="18" borderId="16" applyAlignment="1" applyProtection="1" pivotButton="0" quotePrefix="0" xfId="9">
      <alignment horizontal="left" vertical="top" wrapText="1"/>
      <protection locked="0" hidden="0"/>
    </xf>
    <xf numFmtId="0" fontId="51" fillId="18" borderId="20" applyAlignment="1" applyProtection="1" pivotButton="0" quotePrefix="0" xfId="9">
      <alignment horizontal="left" vertical="top" wrapText="1"/>
      <protection locked="0" hidden="0"/>
    </xf>
    <xf numFmtId="0" fontId="51" fillId="18" borderId="17" applyAlignment="1" applyProtection="1" pivotButton="0" quotePrefix="0" xfId="9">
      <alignment horizontal="left" vertical="top" wrapText="1"/>
      <protection locked="0" hidden="0"/>
    </xf>
    <xf numFmtId="0" fontId="51" fillId="18" borderId="0" applyAlignment="1" applyProtection="1" pivotButton="0" quotePrefix="0" xfId="9">
      <alignment horizontal="left" vertical="top" wrapText="1"/>
      <protection locked="0" hidden="0"/>
    </xf>
    <xf numFmtId="0" fontId="51" fillId="18" borderId="21" applyAlignment="1" applyProtection="1" pivotButton="0" quotePrefix="0" xfId="9">
      <alignment horizontal="left" vertical="top" wrapText="1"/>
      <protection locked="0" hidden="0"/>
    </xf>
    <xf numFmtId="0" fontId="51" fillId="18" borderId="13" applyAlignment="1" applyProtection="1" pivotButton="0" quotePrefix="0" xfId="9">
      <alignment horizontal="left" vertical="top" wrapText="1"/>
      <protection locked="0" hidden="0"/>
    </xf>
    <xf numFmtId="0" fontId="51" fillId="18" borderId="6" applyAlignment="1" applyProtection="1" pivotButton="0" quotePrefix="0" xfId="9">
      <alignment horizontal="left" vertical="top" wrapText="1"/>
      <protection locked="0" hidden="0"/>
    </xf>
    <xf numFmtId="0" fontId="51" fillId="18" borderId="22" applyAlignment="1" applyProtection="1" pivotButton="0" quotePrefix="0" xfId="9">
      <alignment horizontal="left" vertical="top" wrapText="1"/>
      <protection locked="0" hidden="0"/>
    </xf>
    <xf numFmtId="0" fontId="39" fillId="0" borderId="97" applyAlignment="1" pivotButton="0" quotePrefix="0" xfId="9">
      <alignment horizontal="center" vertical="center"/>
    </xf>
    <xf numFmtId="0" fontId="39" fillId="0" borderId="89" applyAlignment="1" pivotButton="0" quotePrefix="0" xfId="9">
      <alignment horizontal="center" vertical="center"/>
    </xf>
    <xf numFmtId="0" fontId="39" fillId="0" borderId="99" applyAlignment="1" pivotButton="0" quotePrefix="0" xfId="9">
      <alignment horizontal="center" vertical="center"/>
    </xf>
    <xf numFmtId="0" fontId="39" fillId="0" borderId="95" applyAlignment="1" pivotButton="0" quotePrefix="0" xfId="9">
      <alignment horizontal="center" vertical="center"/>
    </xf>
    <xf numFmtId="38" fontId="44" fillId="18" borderId="19" applyAlignment="1" applyProtection="1" pivotButton="0" quotePrefix="0" xfId="10">
      <alignment horizontal="right" vertical="center" shrinkToFit="1"/>
      <protection locked="0" hidden="0"/>
    </xf>
    <xf numFmtId="38" fontId="44" fillId="18" borderId="16" applyAlignment="1" applyProtection="1" pivotButton="0" quotePrefix="0" xfId="10">
      <alignment horizontal="right" vertical="center" shrinkToFit="1"/>
      <protection locked="0" hidden="0"/>
    </xf>
    <xf numFmtId="38" fontId="44" fillId="18" borderId="13" applyAlignment="1" applyProtection="1" pivotButton="0" quotePrefix="0" xfId="10">
      <alignment horizontal="right" vertical="center" shrinkToFit="1"/>
      <protection locked="0" hidden="0"/>
    </xf>
    <xf numFmtId="38" fontId="44" fillId="18" borderId="6" applyAlignment="1" applyProtection="1" pivotButton="0" quotePrefix="0" xfId="10">
      <alignment horizontal="right" vertical="center" shrinkToFit="1"/>
      <protection locked="0" hidden="0"/>
    </xf>
    <xf numFmtId="0" fontId="39" fillId="0" borderId="19" applyAlignment="1" pivotButton="0" quotePrefix="0" xfId="9">
      <alignment horizontal="center" vertical="center" textRotation="255" shrinkToFit="1"/>
    </xf>
    <xf numFmtId="0" fontId="39" fillId="0" borderId="16" applyAlignment="1" pivotButton="0" quotePrefix="0" xfId="9">
      <alignment horizontal="center" vertical="center" textRotation="255" shrinkToFit="1"/>
    </xf>
    <xf numFmtId="0" fontId="39" fillId="0" borderId="17" applyAlignment="1" pivotButton="0" quotePrefix="0" xfId="9">
      <alignment horizontal="center" vertical="center" textRotation="255" shrinkToFit="1"/>
    </xf>
    <xf numFmtId="0" fontId="39" fillId="0" borderId="0" applyAlignment="1" pivotButton="0" quotePrefix="0" xfId="9">
      <alignment horizontal="center" vertical="center" textRotation="255" shrinkToFit="1"/>
    </xf>
    <xf numFmtId="0" fontId="39" fillId="0" borderId="13" applyAlignment="1" pivotButton="0" quotePrefix="0" xfId="9">
      <alignment horizontal="center" vertical="center" textRotation="255" shrinkToFit="1"/>
    </xf>
    <xf numFmtId="0" fontId="39" fillId="0" borderId="6" applyAlignment="1" pivotButton="0" quotePrefix="0" xfId="9">
      <alignment horizontal="center" vertical="center" textRotation="255" shrinkToFit="1"/>
    </xf>
    <xf numFmtId="0" fontId="39" fillId="0" borderId="106" applyAlignment="1" pivotButton="0" quotePrefix="0" xfId="9">
      <alignment horizontal="center" vertical="center" shrinkToFit="1"/>
    </xf>
    <xf numFmtId="0" fontId="39" fillId="0" borderId="107" applyAlignment="1" pivotButton="0" quotePrefix="0" xfId="9">
      <alignment horizontal="center" vertical="center" shrinkToFit="1"/>
    </xf>
    <xf numFmtId="0" fontId="39" fillId="0" borderId="18" applyAlignment="1" pivotButton="0" quotePrefix="0" xfId="9">
      <alignment horizontal="center" vertical="center" shrinkToFit="1"/>
    </xf>
    <xf numFmtId="0" fontId="39" fillId="0" borderId="19" applyAlignment="1" pivotButton="0" quotePrefix="0" xfId="9">
      <alignment horizontal="center" vertical="distributed" textRotation="255" shrinkToFit="1" justifyLastLine="1"/>
    </xf>
    <xf numFmtId="0" fontId="39" fillId="0" borderId="20" applyAlignment="1" pivotButton="0" quotePrefix="0" xfId="9">
      <alignment horizontal="center" vertical="distributed" textRotation="255" shrinkToFit="1" justifyLastLine="1"/>
    </xf>
    <xf numFmtId="0" fontId="39" fillId="0" borderId="17" applyAlignment="1" pivotButton="0" quotePrefix="0" xfId="9">
      <alignment horizontal="center" vertical="distributed" textRotation="255" shrinkToFit="1" justifyLastLine="1"/>
    </xf>
    <xf numFmtId="0" fontId="39" fillId="0" borderId="21" applyAlignment="1" pivotButton="0" quotePrefix="0" xfId="9">
      <alignment horizontal="center" vertical="distributed" textRotation="255" shrinkToFit="1" justifyLastLine="1"/>
    </xf>
    <xf numFmtId="0" fontId="39" fillId="0" borderId="96" applyAlignment="1" pivotButton="0" quotePrefix="0" xfId="9">
      <alignment horizontal="center" vertical="center"/>
    </xf>
    <xf numFmtId="0" fontId="39" fillId="0" borderId="98" applyAlignment="1" pivotButton="0" quotePrefix="0" xfId="9">
      <alignment horizontal="center" vertical="center"/>
    </xf>
    <xf numFmtId="0" fontId="34" fillId="0" borderId="19" applyAlignment="1" pivotButton="0" quotePrefix="0" xfId="9">
      <alignment horizontal="center" vertical="center" shrinkToFit="1"/>
    </xf>
    <xf numFmtId="0" fontId="34" fillId="0" borderId="16" applyAlignment="1" pivotButton="0" quotePrefix="0" xfId="9">
      <alignment horizontal="center" vertical="center" shrinkToFit="1"/>
    </xf>
    <xf numFmtId="0" fontId="34" fillId="0" borderId="13" applyAlignment="1" pivotButton="0" quotePrefix="0" xfId="9">
      <alignment horizontal="center" vertical="center" shrinkToFit="1"/>
    </xf>
    <xf numFmtId="0" fontId="34" fillId="0" borderId="6" applyAlignment="1" pivotButton="0" quotePrefix="0" xfId="9">
      <alignment horizontal="center" vertical="center" shrinkToFit="1"/>
    </xf>
    <xf numFmtId="0" fontId="44" fillId="18" borderId="16" applyAlignment="1" applyProtection="1" pivotButton="0" quotePrefix="0" xfId="9">
      <alignment horizontal="right" vertical="center" shrinkToFit="1"/>
      <protection locked="0" hidden="0"/>
    </xf>
    <xf numFmtId="0" fontId="44" fillId="18" borderId="6" applyAlignment="1" applyProtection="1" pivotButton="0" quotePrefix="0" xfId="9">
      <alignment horizontal="right" vertical="center" shrinkToFit="1"/>
      <protection locked="0" hidden="0"/>
    </xf>
    <xf numFmtId="0" fontId="44" fillId="0" borderId="16" applyAlignment="1" pivotButton="0" quotePrefix="0" xfId="9">
      <alignment horizontal="center" vertical="center" shrinkToFit="1"/>
    </xf>
    <xf numFmtId="0" fontId="44" fillId="0" borderId="20" applyAlignment="1" pivotButton="0" quotePrefix="0" xfId="9">
      <alignment horizontal="center" vertical="center" shrinkToFit="1"/>
    </xf>
    <xf numFmtId="0" fontId="44" fillId="0" borderId="6" applyAlignment="1" pivotButton="0" quotePrefix="0" xfId="9">
      <alignment horizontal="center" vertical="center" shrinkToFit="1"/>
    </xf>
    <xf numFmtId="0" fontId="44" fillId="0" borderId="22" applyAlignment="1" pivotButton="0" quotePrefix="0" xfId="9">
      <alignment horizontal="center" vertical="center" shrinkToFit="1"/>
    </xf>
    <xf numFmtId="181" fontId="37" fillId="18" borderId="2" applyAlignment="1" applyProtection="1" pivotButton="0" quotePrefix="0" xfId="9">
      <alignment horizontal="center" vertical="center" shrinkToFit="1"/>
      <protection locked="0" hidden="0"/>
    </xf>
    <xf numFmtId="0" fontId="44" fillId="18" borderId="19" applyAlignment="1" applyProtection="1" pivotButton="0" quotePrefix="0" xfId="9">
      <alignment horizontal="left" vertical="center" shrinkToFit="1"/>
      <protection locked="0" hidden="0"/>
    </xf>
    <xf numFmtId="0" fontId="44" fillId="18" borderId="16" applyAlignment="1" applyProtection="1" pivotButton="0" quotePrefix="0" xfId="9">
      <alignment horizontal="left" vertical="center" shrinkToFit="1"/>
      <protection locked="0" hidden="0"/>
    </xf>
    <xf numFmtId="0" fontId="44" fillId="18" borderId="20" applyAlignment="1" applyProtection="1" pivotButton="0" quotePrefix="0" xfId="9">
      <alignment horizontal="left" vertical="center" shrinkToFit="1"/>
      <protection locked="0" hidden="0"/>
    </xf>
    <xf numFmtId="0" fontId="44" fillId="18" borderId="13" applyAlignment="1" applyProtection="1" pivotButton="0" quotePrefix="0" xfId="9">
      <alignment horizontal="left" vertical="center" shrinkToFit="1"/>
      <protection locked="0" hidden="0"/>
    </xf>
    <xf numFmtId="0" fontId="44" fillId="18" borderId="6" applyAlignment="1" applyProtection="1" pivotButton="0" quotePrefix="0" xfId="9">
      <alignment horizontal="left" vertical="center" shrinkToFit="1"/>
      <protection locked="0" hidden="0"/>
    </xf>
    <xf numFmtId="0" fontId="44" fillId="18" borderId="22" applyAlignment="1" applyProtection="1" pivotButton="0" quotePrefix="0" xfId="9">
      <alignment horizontal="left" vertical="center" shrinkToFit="1"/>
      <protection locked="0" hidden="0"/>
    </xf>
    <xf numFmtId="0" fontId="39" fillId="0" borderId="19" applyAlignment="1" pivotButton="0" quotePrefix="0" xfId="9">
      <alignment horizontal="center" vertical="center" wrapText="1" shrinkToFit="1"/>
    </xf>
    <xf numFmtId="0" fontId="39" fillId="0" borderId="16" applyAlignment="1" pivotButton="0" quotePrefix="0" xfId="9">
      <alignment horizontal="center" vertical="center" wrapText="1" shrinkToFit="1"/>
    </xf>
    <xf numFmtId="0" fontId="39" fillId="0" borderId="17" applyAlignment="1" pivotButton="0" quotePrefix="0" xfId="9">
      <alignment horizontal="center" vertical="center" wrapText="1" shrinkToFit="1"/>
    </xf>
    <xf numFmtId="0" fontId="39" fillId="0" borderId="0" applyAlignment="1" pivotButton="0" quotePrefix="0" xfId="9">
      <alignment horizontal="center" vertical="center" wrapText="1" shrinkToFit="1"/>
    </xf>
    <xf numFmtId="0" fontId="39" fillId="0" borderId="21" applyAlignment="1" pivotButton="0" quotePrefix="0" xfId="9">
      <alignment horizontal="center" vertical="center" wrapText="1" shrinkToFit="1"/>
    </xf>
    <xf numFmtId="0" fontId="39" fillId="0" borderId="13" applyAlignment="1" pivotButton="0" quotePrefix="0" xfId="9">
      <alignment horizontal="center" vertical="center" wrapText="1" shrinkToFit="1"/>
    </xf>
    <xf numFmtId="0" fontId="39" fillId="0" borderId="6" applyAlignment="1" pivotButton="0" quotePrefix="0" xfId="9">
      <alignment horizontal="center" vertical="center" wrapText="1" shrinkToFit="1"/>
    </xf>
    <xf numFmtId="0" fontId="39" fillId="0" borderId="22" applyAlignment="1" pivotButton="0" quotePrefix="0" xfId="9">
      <alignment horizontal="center" vertical="center" wrapText="1" shrinkToFit="1"/>
    </xf>
    <xf numFmtId="0" fontId="39" fillId="0" borderId="16" applyAlignment="1" pivotButton="0" quotePrefix="0" xfId="9">
      <alignment horizontal="center" vertical="center" shrinkToFit="1" justifyLastLine="1"/>
    </xf>
    <xf numFmtId="0" fontId="39" fillId="0" borderId="20" applyAlignment="1" pivotButton="0" quotePrefix="0" xfId="9">
      <alignment horizontal="center" vertical="center" shrinkToFit="1" justifyLastLine="1"/>
    </xf>
    <xf numFmtId="0" fontId="39" fillId="0" borderId="6" applyAlignment="1" pivotButton="0" quotePrefix="0" xfId="9">
      <alignment horizontal="center" vertical="center" shrinkToFit="1" justifyLastLine="1"/>
    </xf>
    <xf numFmtId="0" fontId="39" fillId="0" borderId="22" applyAlignment="1" pivotButton="0" quotePrefix="0" xfId="9">
      <alignment horizontal="center" vertical="center" shrinkToFit="1" justifyLastLine="1"/>
    </xf>
    <xf numFmtId="189" fontId="37" fillId="18" borderId="16" applyAlignment="1" applyProtection="1" pivotButton="0" quotePrefix="0" xfId="9">
      <alignment horizontal="right" vertical="center" shrinkToFit="1"/>
      <protection locked="0" hidden="0"/>
    </xf>
    <xf numFmtId="189" fontId="37" fillId="18" borderId="6" applyAlignment="1" applyProtection="1" pivotButton="0" quotePrefix="0" xfId="9">
      <alignment horizontal="right" vertical="center" shrinkToFit="1"/>
      <protection locked="0" hidden="0"/>
    </xf>
    <xf numFmtId="0" fontId="45" fillId="0" borderId="0" applyAlignment="1" pivotButton="0" quotePrefix="0" xfId="9">
      <alignment horizontal="center" vertical="center"/>
    </xf>
    <xf numFmtId="0" fontId="45" fillId="0" borderId="21" applyAlignment="1" pivotButton="0" quotePrefix="0" xfId="9">
      <alignment horizontal="center" vertical="center"/>
    </xf>
    <xf numFmtId="0" fontId="45" fillId="0" borderId="6" applyAlignment="1" pivotButton="0" quotePrefix="0" xfId="9">
      <alignment horizontal="center" vertical="center"/>
    </xf>
    <xf numFmtId="0" fontId="45" fillId="0" borderId="22" applyAlignment="1" pivotButton="0" quotePrefix="0" xfId="9">
      <alignment horizontal="center" vertical="center"/>
    </xf>
    <xf numFmtId="0" fontId="34" fillId="20" borderId="19" applyAlignment="1" applyProtection="1" pivotButton="0" quotePrefix="0" xfId="9">
      <alignment horizontal="center" vertical="center"/>
      <protection locked="0" hidden="0"/>
    </xf>
    <xf numFmtId="0" fontId="34" fillId="20" borderId="13" applyAlignment="1" applyProtection="1" pivotButton="0" quotePrefix="0" xfId="9">
      <alignment horizontal="center" vertical="center"/>
      <protection locked="0" hidden="0"/>
    </xf>
    <xf numFmtId="0" fontId="34" fillId="0" borderId="16" applyAlignment="1" pivotButton="0" quotePrefix="0" xfId="9">
      <alignment horizontal="center" vertical="center"/>
    </xf>
    <xf numFmtId="0" fontId="34" fillId="0" borderId="6" applyAlignment="1" pivotButton="0" quotePrefix="0" xfId="9">
      <alignment horizontal="center" vertical="center"/>
    </xf>
    <xf numFmtId="0" fontId="34" fillId="20" borderId="16" applyAlignment="1" applyProtection="1" pivotButton="0" quotePrefix="0" xfId="9">
      <alignment horizontal="center" vertical="center"/>
      <protection locked="0" hidden="0"/>
    </xf>
    <xf numFmtId="0" fontId="34" fillId="20" borderId="6" applyAlignment="1" applyProtection="1" pivotButton="0" quotePrefix="0" xfId="9">
      <alignment horizontal="center" vertical="center"/>
      <protection locked="0" hidden="0"/>
    </xf>
    <xf numFmtId="38" fontId="49" fillId="0" borderId="19" applyAlignment="1" pivotButton="0" quotePrefix="0" xfId="9">
      <alignment horizontal="center" vertical="center" shrinkToFit="1"/>
    </xf>
    <xf numFmtId="38" fontId="49" fillId="0" borderId="16" applyAlignment="1" pivotButton="0" quotePrefix="0" xfId="9">
      <alignment horizontal="center" vertical="center" shrinkToFit="1"/>
    </xf>
    <xf numFmtId="38" fontId="49" fillId="0" borderId="13" applyAlignment="1" pivotButton="0" quotePrefix="0" xfId="9">
      <alignment horizontal="center" vertical="center" shrinkToFit="1"/>
    </xf>
    <xf numFmtId="38" fontId="49" fillId="0" borderId="6" applyAlignment="1" pivotButton="0" quotePrefix="0" xfId="9">
      <alignment horizontal="center" vertical="center" shrinkToFit="1"/>
    </xf>
    <xf numFmtId="183" fontId="37" fillId="18" borderId="16" applyAlignment="1" applyProtection="1" pivotButton="0" quotePrefix="0" xfId="9">
      <alignment horizontal="right" vertical="center" shrinkToFit="1"/>
      <protection locked="0" hidden="0"/>
    </xf>
    <xf numFmtId="183" fontId="37" fillId="18" borderId="6" applyAlignment="1" applyProtection="1" pivotButton="0" quotePrefix="0" xfId="9">
      <alignment horizontal="right" vertical="center" shrinkToFit="1"/>
      <protection locked="0" hidden="0"/>
    </xf>
    <xf numFmtId="0" fontId="39" fillId="0" borderId="13" applyAlignment="1" pivotButton="0" quotePrefix="0" xfId="9">
      <alignment horizontal="center" vertical="distributed" textRotation="255" shrinkToFit="1" justifyLastLine="1"/>
    </xf>
    <xf numFmtId="0" fontId="39" fillId="0" borderId="22" applyAlignment="1" pivotButton="0" quotePrefix="0" xfId="9">
      <alignment horizontal="center" vertical="distributed" textRotation="255" shrinkToFit="1" justifyLastLine="1"/>
    </xf>
    <xf numFmtId="0" fontId="39" fillId="0" borderId="0" applyAlignment="1" pivotButton="0" quotePrefix="0" xfId="9">
      <alignment horizontal="center" vertical="center" shrinkToFit="1" justifyLastLine="1"/>
    </xf>
    <xf numFmtId="0" fontId="39" fillId="0" borderId="21" applyAlignment="1" pivotButton="0" quotePrefix="0" xfId="9">
      <alignment horizontal="center" vertical="center" shrinkToFit="1" justifyLastLine="1"/>
    </xf>
    <xf numFmtId="0" fontId="45" fillId="0" borderId="19" applyAlignment="1" pivotButton="0" quotePrefix="0" xfId="9">
      <alignment horizontal="center" vertical="center"/>
    </xf>
    <xf numFmtId="0" fontId="45" fillId="0" borderId="16" applyAlignment="1" pivotButton="0" quotePrefix="0" xfId="9">
      <alignment horizontal="center" vertical="center"/>
    </xf>
    <xf numFmtId="0" fontId="45" fillId="0" borderId="13" applyAlignment="1" pivotButton="0" quotePrefix="0" xfId="9">
      <alignment horizontal="center" vertical="center"/>
    </xf>
    <xf numFmtId="0" fontId="45" fillId="0" borderId="20" applyAlignment="1" pivotButton="0" quotePrefix="0" xfId="9">
      <alignment horizontal="center" vertical="center"/>
    </xf>
    <xf numFmtId="189" fontId="37" fillId="18" borderId="17" applyAlignment="1" applyProtection="1" pivotButton="0" quotePrefix="0" xfId="9">
      <alignment horizontal="right" vertical="center" shrinkToFit="1"/>
      <protection locked="0" hidden="0"/>
    </xf>
    <xf numFmtId="189" fontId="37" fillId="18" borderId="0" applyAlignment="1" applyProtection="1" pivotButton="0" quotePrefix="0" xfId="9">
      <alignment horizontal="right" vertical="center" shrinkToFit="1"/>
      <protection locked="0" hidden="0"/>
    </xf>
    <xf numFmtId="0" fontId="45" fillId="0" borderId="17" applyAlignment="1" pivotButton="0" quotePrefix="0" xfId="9">
      <alignment horizontal="center" vertical="center"/>
    </xf>
    <xf numFmtId="189" fontId="37" fillId="18" borderId="19" applyAlignment="1" applyProtection="1" pivotButton="0" quotePrefix="0" xfId="9">
      <alignment horizontal="right" vertical="center" shrinkToFit="1"/>
      <protection locked="0" hidden="0"/>
    </xf>
    <xf numFmtId="189" fontId="37" fillId="18" borderId="13" applyAlignment="1" applyProtection="1" pivotButton="0" quotePrefix="0" xfId="9">
      <alignment horizontal="right" vertical="center" shrinkToFit="1"/>
      <protection locked="0" hidden="0"/>
    </xf>
    <xf numFmtId="0" fontId="50" fillId="0" borderId="16" applyAlignment="1" pivotButton="0" quotePrefix="0" xfId="9">
      <alignment horizontal="center" vertical="center"/>
    </xf>
    <xf numFmtId="0" fontId="50" fillId="0" borderId="20" applyAlignment="1" pivotButton="0" quotePrefix="0" xfId="9">
      <alignment horizontal="center" vertical="center"/>
    </xf>
    <xf numFmtId="0" fontId="50" fillId="0" borderId="6" applyAlignment="1" pivotButton="0" quotePrefix="0" xfId="9">
      <alignment horizontal="center" vertical="center"/>
    </xf>
    <xf numFmtId="0" fontId="50" fillId="0" borderId="22" applyAlignment="1" pivotButton="0" quotePrefix="0" xfId="9">
      <alignment horizontal="center" vertical="center"/>
    </xf>
    <xf numFmtId="0" fontId="50" fillId="0" borderId="16" applyAlignment="1" pivotButton="0" quotePrefix="0" xfId="9">
      <alignment horizontal="center" vertical="center" shrinkToFit="1"/>
    </xf>
    <xf numFmtId="0" fontId="50" fillId="0" borderId="6" applyAlignment="1" pivotButton="0" quotePrefix="0" xfId="9">
      <alignment horizontal="center" vertical="center" shrinkToFit="1"/>
    </xf>
    <xf numFmtId="0" fontId="48" fillId="0" borderId="19" applyAlignment="1" pivotButton="0" quotePrefix="0" xfId="9">
      <alignment horizontal="center" vertical="center" shrinkToFit="1"/>
    </xf>
    <xf numFmtId="0" fontId="48" fillId="0" borderId="16" applyAlignment="1" pivotButton="0" quotePrefix="0" xfId="9">
      <alignment horizontal="center" vertical="center" shrinkToFit="1"/>
    </xf>
    <xf numFmtId="0" fontId="48" fillId="0" borderId="20" applyAlignment="1" pivotButton="0" quotePrefix="0" xfId="9">
      <alignment horizontal="center" vertical="center" shrinkToFit="1"/>
    </xf>
    <xf numFmtId="0" fontId="48" fillId="0" borderId="13" applyAlignment="1" pivotButton="0" quotePrefix="0" xfId="9">
      <alignment horizontal="center" vertical="center" shrinkToFit="1"/>
    </xf>
    <xf numFmtId="0" fontId="48" fillId="0" borderId="6" applyAlignment="1" pivotButton="0" quotePrefix="0" xfId="9">
      <alignment horizontal="center" vertical="center" shrinkToFit="1"/>
    </xf>
    <xf numFmtId="0" fontId="48" fillId="0" borderId="22" applyAlignment="1" pivotButton="0" quotePrefix="0" xfId="9">
      <alignment horizontal="center" vertical="center" shrinkToFit="1"/>
    </xf>
    <xf numFmtId="0" fontId="34" fillId="0" borderId="20" applyAlignment="1" pivotButton="0" quotePrefix="0" xfId="9">
      <alignment horizontal="center" vertical="center" shrinkToFit="1"/>
    </xf>
    <xf numFmtId="0" fontId="34" fillId="0" borderId="22" applyAlignment="1" pivotButton="0" quotePrefix="0" xfId="9">
      <alignment horizontal="center" vertical="center" shrinkToFit="1"/>
    </xf>
    <xf numFmtId="0" fontId="37" fillId="18" borderId="19" applyAlignment="1" applyProtection="1" pivotButton="0" quotePrefix="0" xfId="9">
      <alignment horizontal="right" vertical="center" shrinkToFit="1"/>
      <protection locked="0" hidden="0"/>
    </xf>
    <xf numFmtId="0" fontId="37" fillId="18" borderId="16" applyAlignment="1" applyProtection="1" pivotButton="0" quotePrefix="0" xfId="9">
      <alignment horizontal="right" vertical="center" shrinkToFit="1"/>
      <protection locked="0" hidden="0"/>
    </xf>
    <xf numFmtId="0" fontId="37" fillId="18" borderId="13" applyAlignment="1" applyProtection="1" pivotButton="0" quotePrefix="0" xfId="9">
      <alignment horizontal="right" vertical="center" shrinkToFit="1"/>
      <protection locked="0" hidden="0"/>
    </xf>
    <xf numFmtId="0" fontId="37" fillId="18" borderId="6" applyAlignment="1" applyProtection="1" pivotButton="0" quotePrefix="0" xfId="9">
      <alignment horizontal="right" vertical="center" shrinkToFit="1"/>
      <protection locked="0" hidden="0"/>
    </xf>
    <xf numFmtId="0" fontId="39" fillId="0" borderId="19" applyAlignment="1" pivotButton="0" quotePrefix="0" xfId="9">
      <alignment horizontal="center" vertical="center" shrinkToFit="1" justifyLastLine="1"/>
    </xf>
    <xf numFmtId="0" fontId="39" fillId="0" borderId="13" applyAlignment="1" pivotButton="0" quotePrefix="0" xfId="9">
      <alignment horizontal="center" vertical="center" shrinkToFit="1" justifyLastLine="1"/>
    </xf>
    <xf numFmtId="49" fontId="39" fillId="17" borderId="16" applyAlignment="1" applyProtection="1" pivotButton="0" quotePrefix="0" xfId="9">
      <alignment horizontal="center" vertical="center"/>
      <protection locked="0" hidden="0"/>
    </xf>
    <xf numFmtId="49" fontId="39" fillId="17" borderId="6" applyAlignment="1" applyProtection="1" pivotButton="0" quotePrefix="0" xfId="9">
      <alignment horizontal="center" vertical="center"/>
      <protection locked="0" hidden="0"/>
    </xf>
    <xf numFmtId="0" fontId="44" fillId="18" borderId="16" applyAlignment="1" applyProtection="1" pivotButton="0" quotePrefix="0" xfId="9">
      <alignment horizontal="center" vertical="center"/>
      <protection locked="0" hidden="0"/>
    </xf>
    <xf numFmtId="0" fontId="44" fillId="18" borderId="6" applyAlignment="1" applyProtection="1" pivotButton="0" quotePrefix="0" xfId="9">
      <alignment horizontal="center" vertical="center"/>
      <protection locked="0" hidden="0"/>
    </xf>
    <xf numFmtId="0" fontId="39" fillId="0" borderId="16" applyAlignment="1" pivotButton="0" quotePrefix="0" xfId="9">
      <alignment horizontal="center" vertical="center"/>
    </xf>
    <xf numFmtId="0" fontId="39" fillId="0" borderId="6" applyAlignment="1" pivotButton="0" quotePrefix="0" xfId="9">
      <alignment horizontal="center" vertical="center"/>
    </xf>
    <xf numFmtId="0" fontId="37" fillId="18" borderId="19" applyAlignment="1" applyProtection="1" pivotButton="0" quotePrefix="0" xfId="9">
      <alignment horizontal="left" vertical="center" shrinkToFit="1"/>
      <protection locked="0" hidden="0"/>
    </xf>
    <xf numFmtId="0" fontId="37" fillId="18" borderId="16" applyAlignment="1" applyProtection="1" pivotButton="0" quotePrefix="0" xfId="9">
      <alignment horizontal="left" vertical="center" shrinkToFit="1"/>
      <protection locked="0" hidden="0"/>
    </xf>
    <xf numFmtId="0" fontId="37" fillId="18" borderId="20" applyAlignment="1" applyProtection="1" pivotButton="0" quotePrefix="0" xfId="9">
      <alignment horizontal="left" vertical="center" shrinkToFit="1"/>
      <protection locked="0" hidden="0"/>
    </xf>
    <xf numFmtId="0" fontId="37" fillId="18" borderId="13" applyAlignment="1" applyProtection="1" pivotButton="0" quotePrefix="0" xfId="9">
      <alignment horizontal="left" vertical="center" shrinkToFit="1"/>
      <protection locked="0" hidden="0"/>
    </xf>
    <xf numFmtId="0" fontId="37" fillId="18" borderId="6" applyAlignment="1" applyProtection="1" pivotButton="0" quotePrefix="0" xfId="9">
      <alignment horizontal="left" vertical="center" shrinkToFit="1"/>
      <protection locked="0" hidden="0"/>
    </xf>
    <xf numFmtId="0" fontId="37" fillId="18" borderId="22" applyAlignment="1" applyProtection="1" pivotButton="0" quotePrefix="0" xfId="9">
      <alignment horizontal="left" vertical="center" shrinkToFit="1"/>
      <protection locked="0" hidden="0"/>
    </xf>
    <xf numFmtId="0" fontId="39" fillId="0" borderId="87" applyAlignment="1" pivotButton="0" quotePrefix="0" xfId="9">
      <alignment horizontal="center" vertical="center" shrinkToFit="1" justifyLastLine="1"/>
    </xf>
    <xf numFmtId="0" fontId="39" fillId="0" borderId="88" applyAlignment="1" pivotButton="0" quotePrefix="0" xfId="9">
      <alignment horizontal="center" vertical="center" shrinkToFit="1" justifyLastLine="1"/>
    </xf>
    <xf numFmtId="0" fontId="39" fillId="0" borderId="89" applyAlignment="1" pivotButton="0" quotePrefix="0" xfId="9">
      <alignment horizontal="center" vertical="center" shrinkToFit="1" justifyLastLine="1"/>
    </xf>
    <xf numFmtId="0" fontId="39" fillId="0" borderId="93" applyAlignment="1" pivotButton="0" quotePrefix="0" xfId="9">
      <alignment horizontal="center" vertical="center" shrinkToFit="1" justifyLastLine="1"/>
    </xf>
    <xf numFmtId="0" fontId="39" fillId="0" borderId="94" applyAlignment="1" pivotButton="0" quotePrefix="0" xfId="9">
      <alignment horizontal="center" vertical="center" shrinkToFit="1" justifyLastLine="1"/>
    </xf>
    <xf numFmtId="0" fontId="39" fillId="0" borderId="95" applyAlignment="1" pivotButton="0" quotePrefix="0" xfId="9">
      <alignment horizontal="center" vertical="center" shrinkToFit="1" justifyLastLine="1"/>
    </xf>
    <xf numFmtId="0" fontId="39" fillId="20" borderId="19" applyAlignment="1" applyProtection="1" pivotButton="0" quotePrefix="0" xfId="9">
      <alignment horizontal="center" vertical="center"/>
      <protection locked="0" hidden="0"/>
    </xf>
    <xf numFmtId="0" fontId="39" fillId="20" borderId="13" applyAlignment="1" applyProtection="1" pivotButton="0" quotePrefix="0" xfId="9">
      <alignment horizontal="center" vertical="center"/>
      <protection locked="0" hidden="0"/>
    </xf>
    <xf numFmtId="0" fontId="45" fillId="18" borderId="0" applyAlignment="1" applyProtection="1" pivotButton="0" quotePrefix="0" xfId="9">
      <alignment horizontal="center" vertical="center" shrinkToFit="1"/>
      <protection locked="0" hidden="0"/>
    </xf>
    <xf numFmtId="0" fontId="45" fillId="18" borderId="6" applyAlignment="1" applyProtection="1" pivotButton="0" quotePrefix="0" xfId="9">
      <alignment horizontal="center" vertical="center" shrinkToFit="1"/>
      <protection locked="0" hidden="0"/>
    </xf>
    <xf numFmtId="49" fontId="44" fillId="18" borderId="0" applyAlignment="1" applyProtection="1" pivotButton="0" quotePrefix="0" xfId="9">
      <alignment horizontal="right" vertical="center" shrinkToFit="1"/>
      <protection locked="0" hidden="0"/>
    </xf>
    <xf numFmtId="49" fontId="44" fillId="18" borderId="6" applyAlignment="1" applyProtection="1" pivotButton="0" quotePrefix="0" xfId="9">
      <alignment horizontal="right" vertical="center" shrinkToFit="1"/>
      <protection locked="0" hidden="0"/>
    </xf>
    <xf numFmtId="0" fontId="44" fillId="18" borderId="0" applyAlignment="1" applyProtection="1" pivotButton="0" quotePrefix="0" xfId="9">
      <alignment horizontal="right" vertical="center" shrinkToFit="1"/>
      <protection locked="0" hidden="0"/>
    </xf>
    <xf numFmtId="0" fontId="39" fillId="0" borderId="17" applyAlignment="1" pivotButton="0" quotePrefix="0" xfId="9">
      <alignment horizontal="center" vertical="center" shrinkToFit="1" justifyLastLine="1"/>
    </xf>
    <xf numFmtId="0" fontId="39" fillId="20" borderId="16" applyAlignment="1" applyProtection="1" pivotButton="0" quotePrefix="0" xfId="9">
      <alignment horizontal="center" vertical="center"/>
      <protection locked="0" hidden="0"/>
    </xf>
    <xf numFmtId="0" fontId="39" fillId="20" borderId="6" applyAlignment="1" applyProtection="1" pivotButton="0" quotePrefix="0" xfId="9">
      <alignment horizontal="center" vertical="center"/>
      <protection locked="0" hidden="0"/>
    </xf>
    <xf numFmtId="0" fontId="39" fillId="20" borderId="17" applyAlignment="1" applyProtection="1" pivotButton="0" quotePrefix="0" xfId="9">
      <alignment horizontal="center" vertical="center"/>
      <protection locked="0" hidden="0"/>
    </xf>
    <xf numFmtId="49" fontId="44" fillId="18" borderId="0" applyAlignment="1" applyProtection="1" pivotButton="0" quotePrefix="0" xfId="9">
      <alignment horizontal="center" vertical="center" shrinkToFit="1"/>
      <protection locked="0" hidden="0"/>
    </xf>
    <xf numFmtId="49" fontId="44" fillId="18" borderId="21" applyAlignment="1" applyProtection="1" pivotButton="0" quotePrefix="0" xfId="9">
      <alignment horizontal="center" vertical="center" shrinkToFit="1"/>
      <protection locked="0" hidden="0"/>
    </xf>
    <xf numFmtId="49" fontId="44" fillId="18" borderId="6" applyAlignment="1" applyProtection="1" pivotButton="0" quotePrefix="0" xfId="9">
      <alignment horizontal="center" vertical="center" shrinkToFit="1"/>
      <protection locked="0" hidden="0"/>
    </xf>
    <xf numFmtId="49" fontId="44" fillId="18" borderId="22" applyAlignment="1" applyProtection="1" pivotButton="0" quotePrefix="0" xfId="9">
      <alignment horizontal="center" vertical="center" shrinkToFit="1"/>
      <protection locked="0" hidden="0"/>
    </xf>
    <xf numFmtId="0" fontId="45" fillId="18" borderId="17" applyAlignment="1" applyProtection="1" pivotButton="0" quotePrefix="0" xfId="9">
      <alignment horizontal="center" vertical="center" shrinkToFit="1"/>
      <protection locked="0" hidden="0"/>
    </xf>
    <xf numFmtId="0" fontId="45" fillId="18" borderId="13" applyAlignment="1" applyProtection="1" pivotButton="0" quotePrefix="0" xfId="9">
      <alignment horizontal="center" vertical="center" shrinkToFit="1"/>
      <protection locked="0" hidden="0"/>
    </xf>
    <xf numFmtId="0" fontId="45" fillId="0" borderId="16" applyAlignment="1" pivotButton="0" quotePrefix="0" xfId="9">
      <alignment horizontal="center" vertical="center" shrinkToFit="1"/>
    </xf>
    <xf numFmtId="0" fontId="45" fillId="0" borderId="0" applyAlignment="1" pivotButton="0" quotePrefix="0" xfId="9">
      <alignment horizontal="center" vertical="center" shrinkToFit="1"/>
    </xf>
    <xf numFmtId="0" fontId="45" fillId="18" borderId="16" applyAlignment="1" applyProtection="1" pivotButton="0" quotePrefix="0" xfId="9">
      <alignment horizontal="center" vertical="center" shrinkToFit="1"/>
      <protection locked="0" hidden="0"/>
    </xf>
    <xf numFmtId="0" fontId="45" fillId="0" borderId="19" applyAlignment="1" pivotButton="0" quotePrefix="0" xfId="9">
      <alignment horizontal="center" vertical="center" shrinkToFit="1"/>
    </xf>
    <xf numFmtId="0" fontId="45" fillId="0" borderId="17" applyAlignment="1" pivotButton="0" quotePrefix="0" xfId="9">
      <alignment horizontal="center" vertical="center" shrinkToFit="1"/>
    </xf>
    <xf numFmtId="0" fontId="44" fillId="18" borderId="17" applyAlignment="1" applyProtection="1" pivotButton="0" quotePrefix="0" xfId="9">
      <alignment horizontal="left" vertical="center"/>
      <protection locked="0" hidden="0"/>
    </xf>
    <xf numFmtId="0" fontId="44" fillId="18" borderId="0" applyAlignment="1" applyProtection="1" pivotButton="0" quotePrefix="0" xfId="9">
      <alignment horizontal="left" vertical="center"/>
      <protection locked="0" hidden="0"/>
    </xf>
    <xf numFmtId="0" fontId="44" fillId="18" borderId="21" applyAlignment="1" applyProtection="1" pivotButton="0" quotePrefix="0" xfId="9">
      <alignment horizontal="left" vertical="center"/>
      <protection locked="0" hidden="0"/>
    </xf>
    <xf numFmtId="0" fontId="44" fillId="18" borderId="13" applyAlignment="1" applyProtection="1" pivotButton="0" quotePrefix="0" xfId="9">
      <alignment horizontal="left" vertical="center"/>
      <protection locked="0" hidden="0"/>
    </xf>
    <xf numFmtId="0" fontId="44" fillId="18" borderId="6" applyAlignment="1" applyProtection="1" pivotButton="0" quotePrefix="0" xfId="9">
      <alignment horizontal="left" vertical="center"/>
      <protection locked="0" hidden="0"/>
    </xf>
    <xf numFmtId="0" fontId="44" fillId="18" borderId="22" applyAlignment="1" applyProtection="1" pivotButton="0" quotePrefix="0" xfId="9">
      <alignment horizontal="left" vertical="center"/>
      <protection locked="0" hidden="0"/>
    </xf>
    <xf numFmtId="0" fontId="39" fillId="0" borderId="20" applyAlignment="1" pivotButton="0" quotePrefix="0" xfId="9">
      <alignment horizontal="center" vertical="center" textRotation="255" shrinkToFit="1"/>
    </xf>
    <xf numFmtId="0" fontId="39" fillId="0" borderId="21" applyAlignment="1" pivotButton="0" quotePrefix="0" xfId="9">
      <alignment horizontal="center" vertical="center" textRotation="255" shrinkToFit="1"/>
    </xf>
    <xf numFmtId="0" fontId="39" fillId="0" borderId="22" applyAlignment="1" pivotButton="0" quotePrefix="0" xfId="9">
      <alignment horizontal="center" vertical="center" textRotation="255" shrinkToFit="1"/>
    </xf>
    <xf numFmtId="0" fontId="39" fillId="0" borderId="103" applyAlignment="1" pivotButton="0" quotePrefix="0" xfId="9">
      <alignment horizontal="center" vertical="center" shrinkToFit="1" justifyLastLine="1"/>
    </xf>
    <xf numFmtId="0" fontId="39" fillId="0" borderId="104" applyAlignment="1" pivotButton="0" quotePrefix="0" xfId="9">
      <alignment horizontal="center" vertical="center" shrinkToFit="1" justifyLastLine="1"/>
    </xf>
    <xf numFmtId="0" fontId="39" fillId="0" borderId="105" applyAlignment="1" pivotButton="0" quotePrefix="0" xfId="9">
      <alignment horizontal="center" vertical="center" shrinkToFit="1" justifyLastLine="1"/>
    </xf>
    <xf numFmtId="0" fontId="39" fillId="0" borderId="100" applyAlignment="1" pivotButton="0" quotePrefix="0" xfId="9">
      <alignment horizontal="center" vertical="center" shrinkToFit="1" justifyLastLine="1"/>
    </xf>
    <xf numFmtId="0" fontId="39" fillId="0" borderId="101" applyAlignment="1" pivotButton="0" quotePrefix="0" xfId="9">
      <alignment horizontal="center" vertical="center" shrinkToFit="1" justifyLastLine="1"/>
    </xf>
    <xf numFmtId="0" fontId="39" fillId="0" borderId="102" applyAlignment="1" pivotButton="0" quotePrefix="0" xfId="9">
      <alignment horizontal="center" vertical="center" shrinkToFit="1" justifyLastLine="1"/>
    </xf>
    <xf numFmtId="0" fontId="37" fillId="18" borderId="17" applyAlignment="1" applyProtection="1" pivotButton="0" quotePrefix="0" xfId="9">
      <alignment horizontal="left" vertical="center" shrinkToFit="1"/>
      <protection locked="0" hidden="0"/>
    </xf>
    <xf numFmtId="0" fontId="37" fillId="18" borderId="0" applyAlignment="1" applyProtection="1" pivotButton="0" quotePrefix="0" xfId="9">
      <alignment horizontal="left" vertical="center" shrinkToFit="1"/>
      <protection locked="0" hidden="0"/>
    </xf>
    <xf numFmtId="0" fontId="37" fillId="18" borderId="21" applyAlignment="1" applyProtection="1" pivotButton="0" quotePrefix="0" xfId="9">
      <alignment horizontal="left" vertical="center" shrinkToFit="1"/>
      <protection locked="0" hidden="0"/>
    </xf>
    <xf numFmtId="0" fontId="45" fillId="17" borderId="19" applyAlignment="1" applyProtection="1" pivotButton="0" quotePrefix="0" xfId="9">
      <alignment horizontal="center" vertical="center"/>
      <protection locked="0" hidden="0"/>
    </xf>
    <xf numFmtId="0" fontId="45" fillId="17" borderId="16" applyAlignment="1" applyProtection="1" pivotButton="0" quotePrefix="0" xfId="9">
      <alignment horizontal="center" vertical="center"/>
      <protection locked="0" hidden="0"/>
    </xf>
    <xf numFmtId="0" fontId="45" fillId="17" borderId="13" applyAlignment="1" applyProtection="1" pivotButton="0" quotePrefix="0" xfId="9">
      <alignment horizontal="center" vertical="center"/>
      <protection locked="0" hidden="0"/>
    </xf>
    <xf numFmtId="0" fontId="45" fillId="17" borderId="6" applyAlignment="1" applyProtection="1" pivotButton="0" quotePrefix="0" xfId="9">
      <alignment horizontal="center" vertical="center"/>
      <protection locked="0" hidden="0"/>
    </xf>
    <xf numFmtId="0" fontId="39" fillId="0" borderId="20" applyAlignment="1" pivotButton="0" quotePrefix="0" xfId="9">
      <alignment horizontal="center" vertical="center"/>
    </xf>
    <xf numFmtId="0" fontId="39" fillId="0" borderId="22" applyAlignment="1" pivotButton="0" quotePrefix="0" xfId="9">
      <alignment horizontal="center" vertical="center"/>
    </xf>
    <xf numFmtId="0" fontId="46" fillId="0" borderId="19" applyAlignment="1" pivotButton="0" quotePrefix="0" xfId="9">
      <alignment horizontal="center" vertical="center" shrinkToFit="1"/>
    </xf>
    <xf numFmtId="0" fontId="46" fillId="0" borderId="16" applyAlignment="1" pivotButton="0" quotePrefix="0" xfId="9">
      <alignment horizontal="center" vertical="center" shrinkToFit="1"/>
    </xf>
    <xf numFmtId="0" fontId="46" fillId="0" borderId="20" applyAlignment="1" pivotButton="0" quotePrefix="0" xfId="9">
      <alignment horizontal="center" vertical="center" shrinkToFit="1"/>
    </xf>
    <xf numFmtId="0" fontId="46" fillId="0" borderId="13" applyAlignment="1" pivotButton="0" quotePrefix="0" xfId="9">
      <alignment horizontal="center" vertical="center" shrinkToFit="1"/>
    </xf>
    <xf numFmtId="0" fontId="46" fillId="0" borderId="6" applyAlignment="1" pivotButton="0" quotePrefix="0" xfId="9">
      <alignment horizontal="center" vertical="center" shrinkToFit="1"/>
    </xf>
    <xf numFmtId="0" fontId="46" fillId="0" borderId="22" applyAlignment="1" pivotButton="0" quotePrefix="0" xfId="9">
      <alignment horizontal="center" vertical="center" shrinkToFit="1"/>
    </xf>
    <xf numFmtId="0" fontId="44" fillId="18" borderId="19" applyAlignment="1" applyProtection="1" pivotButton="0" quotePrefix="0" xfId="9">
      <alignment horizontal="left" vertical="center"/>
      <protection locked="0" hidden="0"/>
    </xf>
    <xf numFmtId="0" fontId="44" fillId="18" borderId="16" applyAlignment="1" applyProtection="1" pivotButton="0" quotePrefix="0" xfId="9">
      <alignment horizontal="left" vertical="center"/>
      <protection locked="0" hidden="0"/>
    </xf>
    <xf numFmtId="0" fontId="44" fillId="18" borderId="20" applyAlignment="1" applyProtection="1" pivotButton="0" quotePrefix="0" xfId="9">
      <alignment horizontal="left" vertical="center"/>
      <protection locked="0" hidden="0"/>
    </xf>
    <xf numFmtId="0" fontId="45" fillId="0" borderId="20" applyAlignment="1" pivotButton="0" quotePrefix="0" xfId="9">
      <alignment horizontal="center" vertical="center" shrinkToFit="1"/>
    </xf>
    <xf numFmtId="0" fontId="45" fillId="0" borderId="13" applyAlignment="1" pivotButton="0" quotePrefix="0" xfId="9">
      <alignment horizontal="center" vertical="center" shrinkToFit="1"/>
    </xf>
    <xf numFmtId="0" fontId="45" fillId="0" borderId="6" applyAlignment="1" pivotButton="0" quotePrefix="0" xfId="9">
      <alignment horizontal="center" vertical="center" shrinkToFit="1"/>
    </xf>
    <xf numFmtId="0" fontId="45" fillId="0" borderId="22" applyAlignment="1" pivotButton="0" quotePrefix="0" xfId="9">
      <alignment horizontal="center" vertical="center" shrinkToFit="1"/>
    </xf>
    <xf numFmtId="9" fontId="37" fillId="18" borderId="19" applyAlignment="1" applyProtection="1" pivotButton="0" quotePrefix="0" xfId="9">
      <alignment horizontal="right" vertical="center" shrinkToFit="1"/>
      <protection locked="0" hidden="0"/>
    </xf>
    <xf numFmtId="0" fontId="39" fillId="0" borderId="90" applyAlignment="1" pivotButton="0" quotePrefix="0" xfId="9">
      <alignment horizontal="center" vertical="center" shrinkToFit="1" justifyLastLine="1"/>
    </xf>
    <xf numFmtId="0" fontId="39" fillId="0" borderId="91" applyAlignment="1" pivotButton="0" quotePrefix="0" xfId="9">
      <alignment horizontal="center" vertical="center" shrinkToFit="1" justifyLastLine="1"/>
    </xf>
    <xf numFmtId="0" fontId="39" fillId="0" borderId="92" applyAlignment="1" pivotButton="0" quotePrefix="0" xfId="9">
      <alignment horizontal="center" vertical="center" shrinkToFit="1" justifyLastLine="1"/>
    </xf>
    <xf numFmtId="0" fontId="44" fillId="18" borderId="0" applyAlignment="1" applyProtection="1" pivotButton="0" quotePrefix="0" xfId="9">
      <alignment horizontal="left" vertical="center" shrinkToFit="1"/>
      <protection locked="0" hidden="0"/>
    </xf>
    <xf numFmtId="0" fontId="44" fillId="18" borderId="21" applyAlignment="1" applyProtection="1" pivotButton="0" quotePrefix="0" xfId="9">
      <alignment horizontal="left" vertical="center" shrinkToFit="1"/>
      <protection locked="0" hidden="0"/>
    </xf>
    <xf numFmtId="0" fontId="44" fillId="18" borderId="17" applyAlignment="1" applyProtection="1" pivotButton="0" quotePrefix="0" xfId="9">
      <alignment horizontal="left" vertical="center" shrinkToFit="1"/>
      <protection locked="0" hidden="0"/>
    </xf>
    <xf numFmtId="0" fontId="37" fillId="18" borderId="87" applyAlignment="1" applyProtection="1" pivotButton="0" quotePrefix="0" xfId="9">
      <alignment horizontal="left" vertical="center" shrinkToFit="1"/>
      <protection locked="0" hidden="0"/>
    </xf>
    <xf numFmtId="0" fontId="37" fillId="18" borderId="88" applyAlignment="1" applyProtection="1" pivotButton="0" quotePrefix="0" xfId="9">
      <alignment horizontal="left" vertical="center" shrinkToFit="1"/>
      <protection locked="0" hidden="0"/>
    </xf>
    <xf numFmtId="0" fontId="37" fillId="18" borderId="89" applyAlignment="1" applyProtection="1" pivotButton="0" quotePrefix="0" xfId="9">
      <alignment horizontal="left" vertical="center" shrinkToFit="1"/>
      <protection locked="0" hidden="0"/>
    </xf>
    <xf numFmtId="0" fontId="37" fillId="18" borderId="93" applyAlignment="1" applyProtection="1" pivotButton="0" quotePrefix="0" xfId="9">
      <alignment horizontal="left" vertical="center" shrinkToFit="1"/>
      <protection locked="0" hidden="0"/>
    </xf>
    <xf numFmtId="0" fontId="37" fillId="18" borderId="94" applyAlignment="1" applyProtection="1" pivotButton="0" quotePrefix="0" xfId="9">
      <alignment horizontal="left" vertical="center" shrinkToFit="1"/>
      <protection locked="0" hidden="0"/>
    </xf>
    <xf numFmtId="0" fontId="37" fillId="18" borderId="95" applyAlignment="1" applyProtection="1" pivotButton="0" quotePrefix="0" xfId="9">
      <alignment horizontal="left" vertical="center" shrinkToFit="1"/>
      <protection locked="0" hidden="0"/>
    </xf>
    <xf numFmtId="0" fontId="34" fillId="17" borderId="16" applyAlignment="1" applyProtection="1" pivotButton="0" quotePrefix="0" xfId="9">
      <alignment horizontal="center" vertical="center" shrinkToFit="1"/>
      <protection locked="0" hidden="0"/>
    </xf>
    <xf numFmtId="0" fontId="34" fillId="17" borderId="6" applyAlignment="1" applyProtection="1" pivotButton="0" quotePrefix="0" xfId="9">
      <alignment horizontal="center" vertical="center" shrinkToFit="1"/>
      <protection locked="0" hidden="0"/>
    </xf>
    <xf numFmtId="0" fontId="34" fillId="17" borderId="19" applyAlignment="1" applyProtection="1" pivotButton="0" quotePrefix="0" xfId="9">
      <alignment horizontal="center" vertical="center" shrinkToFit="1"/>
      <protection locked="0" hidden="0"/>
    </xf>
    <xf numFmtId="0" fontId="34" fillId="17" borderId="20" applyAlignment="1" applyProtection="1" pivotButton="0" quotePrefix="0" xfId="9">
      <alignment horizontal="center" vertical="center" shrinkToFit="1"/>
      <protection locked="0" hidden="0"/>
    </xf>
    <xf numFmtId="0" fontId="34" fillId="17" borderId="13" applyAlignment="1" applyProtection="1" pivotButton="0" quotePrefix="0" xfId="9">
      <alignment horizontal="center" vertical="center" shrinkToFit="1"/>
      <protection locked="0" hidden="0"/>
    </xf>
    <xf numFmtId="0" fontId="34" fillId="17" borderId="22" applyAlignment="1" applyProtection="1" pivotButton="0" quotePrefix="0" xfId="9">
      <alignment horizontal="center" vertical="center" shrinkToFit="1"/>
      <protection locked="0" hidden="0"/>
    </xf>
    <xf numFmtId="0" fontId="34" fillId="0" borderId="17" applyAlignment="1" pivotButton="0" quotePrefix="0" xfId="9">
      <alignment horizontal="center" vertical="center" shrinkToFit="1"/>
    </xf>
    <xf numFmtId="0" fontId="34" fillId="0" borderId="0" applyAlignment="1" pivotButton="0" quotePrefix="0" xfId="9">
      <alignment horizontal="center" vertical="center" shrinkToFit="1"/>
    </xf>
    <xf numFmtId="0" fontId="37" fillId="18" borderId="0" applyAlignment="1" applyProtection="1" pivotButton="0" quotePrefix="0" xfId="9">
      <alignment horizontal="right" vertical="center" shrinkToFit="1"/>
      <protection locked="0" hidden="0"/>
    </xf>
    <xf numFmtId="0" fontId="34" fillId="0" borderId="21" applyAlignment="1" pivotButton="0" quotePrefix="0" xfId="9">
      <alignment horizontal="center" vertical="center" shrinkToFit="1"/>
    </xf>
    <xf numFmtId="0" fontId="37" fillId="18" borderId="96" applyAlignment="1" applyProtection="1" pivotButton="0" quotePrefix="0" xfId="9">
      <alignment horizontal="left" vertical="center" shrinkToFit="1"/>
      <protection locked="0" hidden="0"/>
    </xf>
    <xf numFmtId="0" fontId="37" fillId="18" borderId="98" applyAlignment="1" applyProtection="1" pivotButton="0" quotePrefix="0" xfId="9">
      <alignment horizontal="left" vertical="center" shrinkToFit="1"/>
      <protection locked="0" hidden="0"/>
    </xf>
    <xf numFmtId="0" fontId="34" fillId="0" borderId="97" applyAlignment="1" pivotButton="0" quotePrefix="0" xfId="9">
      <alignment horizontal="center" vertical="center" shrinkToFit="1"/>
    </xf>
    <xf numFmtId="0" fontId="34" fillId="0" borderId="88" applyAlignment="1" pivotButton="0" quotePrefix="0" xfId="9">
      <alignment horizontal="center" vertical="center" shrinkToFit="1"/>
    </xf>
    <xf numFmtId="0" fontId="34" fillId="0" borderId="96" applyAlignment="1" pivotButton="0" quotePrefix="0" xfId="9">
      <alignment horizontal="center" vertical="center" shrinkToFit="1"/>
    </xf>
    <xf numFmtId="0" fontId="34" fillId="0" borderId="99" applyAlignment="1" pivotButton="0" quotePrefix="0" xfId="9">
      <alignment horizontal="center" vertical="center" shrinkToFit="1"/>
    </xf>
    <xf numFmtId="0" fontId="34" fillId="0" borderId="94" applyAlignment="1" pivotButton="0" quotePrefix="0" xfId="9">
      <alignment horizontal="center" vertical="center" shrinkToFit="1"/>
    </xf>
    <xf numFmtId="0" fontId="34" fillId="0" borderId="98" applyAlignment="1" pivotButton="0" quotePrefix="0" xfId="9">
      <alignment horizontal="center" vertical="center" shrinkToFit="1"/>
    </xf>
    <xf numFmtId="0" fontId="37" fillId="18" borderId="97" applyAlignment="1" applyProtection="1" pivotButton="0" quotePrefix="0" xfId="9">
      <alignment horizontal="left" vertical="center" shrinkToFit="1"/>
      <protection locked="0" hidden="0"/>
    </xf>
    <xf numFmtId="0" fontId="37" fillId="18" borderId="99" applyAlignment="1" applyProtection="1" pivotButton="0" quotePrefix="0" xfId="9">
      <alignment horizontal="left" vertical="center" shrinkToFit="1"/>
      <protection locked="0" hidden="0"/>
    </xf>
    <xf numFmtId="0" fontId="39" fillId="0" borderId="87" applyAlignment="1" pivotButton="0" quotePrefix="0" xfId="9">
      <alignment horizontal="center" vertical="center" shrinkToFit="1"/>
    </xf>
    <xf numFmtId="0" fontId="39" fillId="0" borderId="88" applyAlignment="1" pivotButton="0" quotePrefix="0" xfId="9">
      <alignment horizontal="center" vertical="center" shrinkToFit="1"/>
    </xf>
    <xf numFmtId="0" fontId="39" fillId="0" borderId="89" applyAlignment="1" pivotButton="0" quotePrefix="0" xfId="9">
      <alignment horizontal="center" vertical="center" shrinkToFit="1"/>
    </xf>
    <xf numFmtId="0" fontId="39" fillId="0" borderId="90" applyAlignment="1" pivotButton="0" quotePrefix="0" xfId="9">
      <alignment horizontal="center" vertical="center" shrinkToFit="1"/>
    </xf>
    <xf numFmtId="0" fontId="39" fillId="0" borderId="91" applyAlignment="1" pivotButton="0" quotePrefix="0" xfId="9">
      <alignment horizontal="center" vertical="center" shrinkToFit="1"/>
    </xf>
    <xf numFmtId="0" fontId="39" fillId="0" borderId="92" applyAlignment="1" pivotButton="0" quotePrefix="0" xfId="9">
      <alignment horizontal="center" vertical="center" shrinkToFit="1"/>
    </xf>
    <xf numFmtId="181" fontId="37" fillId="18" borderId="19" applyAlignment="1" applyProtection="1" pivotButton="0" quotePrefix="0" xfId="9">
      <alignment horizontal="center" vertical="center" shrinkToFit="1"/>
      <protection locked="0" hidden="0"/>
    </xf>
    <xf numFmtId="181" fontId="37" fillId="18" borderId="16" applyAlignment="1" applyProtection="1" pivotButton="0" quotePrefix="0" xfId="9">
      <alignment horizontal="center" vertical="center" shrinkToFit="1"/>
      <protection locked="0" hidden="0"/>
    </xf>
    <xf numFmtId="181" fontId="37" fillId="18" borderId="20" applyAlignment="1" applyProtection="1" pivotButton="0" quotePrefix="0" xfId="9">
      <alignment horizontal="center" vertical="center" shrinkToFit="1"/>
      <protection locked="0" hidden="0"/>
    </xf>
    <xf numFmtId="181" fontId="37" fillId="18" borderId="13" applyAlignment="1" applyProtection="1" pivotButton="0" quotePrefix="0" xfId="9">
      <alignment horizontal="center" vertical="center" shrinkToFit="1"/>
      <protection locked="0" hidden="0"/>
    </xf>
    <xf numFmtId="181" fontId="37" fillId="18" borderId="6" applyAlignment="1" applyProtection="1" pivotButton="0" quotePrefix="0" xfId="9">
      <alignment horizontal="center" vertical="center" shrinkToFit="1"/>
      <protection locked="0" hidden="0"/>
    </xf>
    <xf numFmtId="181" fontId="37" fillId="18" borderId="22" applyAlignment="1" applyProtection="1" pivotButton="0" quotePrefix="0" xfId="9">
      <alignment horizontal="center" vertical="center" shrinkToFit="1"/>
      <protection locked="0" hidden="0"/>
    </xf>
    <xf numFmtId="181" fontId="44" fillId="18" borderId="16" applyAlignment="1" applyProtection="1" pivotButton="0" quotePrefix="0" xfId="9">
      <alignment horizontal="center" vertical="center" shrinkToFit="1"/>
      <protection locked="0" hidden="0"/>
    </xf>
    <xf numFmtId="181" fontId="44" fillId="18" borderId="20" applyAlignment="1" applyProtection="1" pivotButton="0" quotePrefix="0" xfId="9">
      <alignment horizontal="center" vertical="center" shrinkToFit="1"/>
      <protection locked="0" hidden="0"/>
    </xf>
    <xf numFmtId="181" fontId="44" fillId="18" borderId="0" applyAlignment="1" applyProtection="1" pivotButton="0" quotePrefix="0" xfId="9">
      <alignment horizontal="center" vertical="center" shrinkToFit="1"/>
      <protection locked="0" hidden="0"/>
    </xf>
    <xf numFmtId="181" fontId="44" fillId="18" borderId="21" applyAlignment="1" applyProtection="1" pivotButton="0" quotePrefix="0" xfId="9">
      <alignment horizontal="center" vertical="center" shrinkToFit="1"/>
      <protection locked="0" hidden="0"/>
    </xf>
    <xf numFmtId="0" fontId="34" fillId="17" borderId="0" applyAlignment="1" applyProtection="1" pivotButton="0" quotePrefix="0" xfId="9">
      <alignment horizontal="center" vertical="center" shrinkToFit="1"/>
      <protection locked="0" hidden="0"/>
    </xf>
    <xf numFmtId="0" fontId="34" fillId="17" borderId="21" applyAlignment="1" applyProtection="1" pivotButton="0" quotePrefix="0" xfId="9">
      <alignment horizontal="center" vertical="center" shrinkToFit="1"/>
      <protection locked="0" hidden="0"/>
    </xf>
    <xf numFmtId="49" fontId="34" fillId="0" borderId="0" applyAlignment="1" pivotButton="0" quotePrefix="0" xfId="9">
      <alignment horizontal="center" vertical="center"/>
    </xf>
    <xf numFmtId="0" fontId="40" fillId="0" borderId="0" applyAlignment="1" pivotButton="0" quotePrefix="0" xfId="9">
      <alignment horizontal="center" vertical="center"/>
    </xf>
    <xf numFmtId="0" fontId="34" fillId="17" borderId="19" applyAlignment="1" applyProtection="1" pivotButton="0" quotePrefix="0" xfId="9">
      <alignment vertical="center" shrinkToFit="1"/>
      <protection locked="0" hidden="0"/>
    </xf>
    <xf numFmtId="0" fontId="34" fillId="17" borderId="16" applyAlignment="1" applyProtection="1" pivotButton="0" quotePrefix="0" xfId="9">
      <alignment vertical="center" shrinkToFit="1"/>
      <protection locked="0" hidden="0"/>
    </xf>
    <xf numFmtId="0" fontId="34" fillId="17" borderId="20" applyAlignment="1" applyProtection="1" pivotButton="0" quotePrefix="0" xfId="9">
      <alignment vertical="center" shrinkToFit="1"/>
      <protection locked="0" hidden="0"/>
    </xf>
    <xf numFmtId="0" fontId="34" fillId="17" borderId="13" applyAlignment="1" applyProtection="1" pivotButton="0" quotePrefix="0" xfId="9">
      <alignment vertical="center" shrinkToFit="1"/>
      <protection locked="0" hidden="0"/>
    </xf>
    <xf numFmtId="0" fontId="34" fillId="17" borderId="6" applyAlignment="1" applyProtection="1" pivotButton="0" quotePrefix="0" xfId="9">
      <alignment vertical="center" shrinkToFit="1"/>
      <protection locked="0" hidden="0"/>
    </xf>
    <xf numFmtId="0" fontId="34" fillId="17" borderId="22" applyAlignment="1" applyProtection="1" pivotButton="0" quotePrefix="0" xfId="9">
      <alignment vertical="center" shrinkToFit="1"/>
      <protection locked="0" hidden="0"/>
    </xf>
    <xf numFmtId="0" fontId="39" fillId="0" borderId="93" applyAlignment="1" pivotButton="0" quotePrefix="0" xfId="9">
      <alignment horizontal="center" vertical="center" shrinkToFit="1"/>
    </xf>
    <xf numFmtId="0" fontId="39" fillId="0" borderId="94" applyAlignment="1" pivotButton="0" quotePrefix="0" xfId="9">
      <alignment horizontal="center" vertical="center" shrinkToFit="1"/>
    </xf>
    <xf numFmtId="0" fontId="39" fillId="0" borderId="95" applyAlignment="1" pivotButton="0" quotePrefix="0" xfId="9">
      <alignment horizontal="center" vertical="center" shrinkToFit="1"/>
    </xf>
    <xf numFmtId="181" fontId="44" fillId="18" borderId="6" applyAlignment="1" applyProtection="1" pivotButton="0" quotePrefix="0" xfId="9">
      <alignment horizontal="center" vertical="center" shrinkToFit="1"/>
      <protection locked="0" hidden="0"/>
    </xf>
    <xf numFmtId="181" fontId="44" fillId="18" borderId="22" applyAlignment="1" applyProtection="1" pivotButton="0" quotePrefix="0" xfId="9">
      <alignment horizontal="center" vertical="center" shrinkToFit="1"/>
      <protection locked="0" hidden="0"/>
    </xf>
    <xf numFmtId="49" fontId="37" fillId="18" borderId="0" applyAlignment="1" applyProtection="1" pivotButton="0" quotePrefix="0" xfId="9">
      <alignment horizontal="center" vertical="center" shrinkToFit="1"/>
      <protection locked="0" hidden="0"/>
    </xf>
    <xf numFmtId="49" fontId="37" fillId="19" borderId="0" applyAlignment="1" applyProtection="1" pivotButton="0" quotePrefix="0" xfId="9">
      <alignment horizontal="center" vertical="center"/>
      <protection locked="0" hidden="0"/>
    </xf>
    <xf numFmtId="0" fontId="39" fillId="17" borderId="16" applyAlignment="1" applyProtection="1" pivotButton="0" quotePrefix="0" xfId="9">
      <alignment horizontal="center" vertical="center"/>
      <protection locked="0" hidden="0"/>
    </xf>
    <xf numFmtId="0" fontId="39" fillId="17" borderId="6" applyAlignment="1" applyProtection="1" pivotButton="0" quotePrefix="0" xfId="9">
      <alignment horizontal="center" vertical="center"/>
      <protection locked="0" hidden="0"/>
    </xf>
    <xf numFmtId="0" fontId="37" fillId="18" borderId="87" applyAlignment="1" applyProtection="1" pivotButton="0" quotePrefix="0" xfId="9">
      <alignment horizontal="left" vertical="center" wrapText="1" shrinkToFit="1"/>
      <protection locked="0" hidden="0"/>
    </xf>
    <xf numFmtId="0" fontId="75" fillId="0" borderId="0" applyAlignment="1" pivotButton="0" quotePrefix="0" xfId="11">
      <alignment vertical="center"/>
    </xf>
    <xf numFmtId="0" fontId="74" fillId="0" borderId="115" applyAlignment="1" pivotButton="0" quotePrefix="0" xfId="11">
      <alignment horizontal="center" vertical="center"/>
    </xf>
    <xf numFmtId="0" fontId="74" fillId="0" borderId="16" applyAlignment="1" pivotButton="0" quotePrefix="0" xfId="11">
      <alignment horizontal="center" vertical="center"/>
    </xf>
    <xf numFmtId="0" fontId="77" fillId="0" borderId="17" applyAlignment="1" pivotButton="0" quotePrefix="0" xfId="11">
      <alignment horizontal="center" vertical="center"/>
    </xf>
    <xf numFmtId="0" fontId="77" fillId="0" borderId="0" applyAlignment="1" pivotButton="0" quotePrefix="0" xfId="11">
      <alignment horizontal="center" vertical="center"/>
    </xf>
    <xf numFmtId="0" fontId="77" fillId="0" borderId="116" applyAlignment="1" pivotButton="0" quotePrefix="0" xfId="11">
      <alignment horizontal="center" vertical="center"/>
    </xf>
    <xf numFmtId="0" fontId="74" fillId="0" borderId="20" applyAlignment="1" pivotButton="0" quotePrefix="0" xfId="11">
      <alignment horizontal="center" vertical="center"/>
    </xf>
    <xf numFmtId="0" fontId="74" fillId="0" borderId="117" applyAlignment="1" pivotButton="0" quotePrefix="0" xfId="11">
      <alignment horizontal="center" vertical="center"/>
    </xf>
    <xf numFmtId="0" fontId="74" fillId="0" borderId="21" applyAlignment="1" pivotButton="0" quotePrefix="0" xfId="11">
      <alignment horizontal="center" vertical="center"/>
    </xf>
    <xf numFmtId="0" fontId="74" fillId="0" borderId="119" applyAlignment="1" pivotButton="0" quotePrefix="0" xfId="11">
      <alignment horizontal="center" vertical="center"/>
    </xf>
    <xf numFmtId="0" fontId="74" fillId="0" borderId="120" applyAlignment="1" pivotButton="0" quotePrefix="0" xfId="11">
      <alignment horizontal="center" vertical="center"/>
    </xf>
    <xf numFmtId="0" fontId="74" fillId="0" borderId="19" applyAlignment="1" pivotButton="0" quotePrefix="0" xfId="11">
      <alignment horizontal="center" vertical="center"/>
    </xf>
    <xf numFmtId="190" fontId="77" fillId="0" borderId="12" applyAlignment="1" pivotButton="0" quotePrefix="0" xfId="11">
      <alignment horizontal="center" vertical="center"/>
    </xf>
    <xf numFmtId="190" fontId="77" fillId="0" borderId="3" applyAlignment="1" pivotButton="0" quotePrefix="0" xfId="11">
      <alignment horizontal="center" vertical="center"/>
    </xf>
    <xf numFmtId="0" fontId="74" fillId="0" borderId="17" applyAlignment="1" pivotButton="0" quotePrefix="0" xfId="11">
      <alignment horizontal="center" vertical="center"/>
    </xf>
    <xf numFmtId="190" fontId="77" fillId="0" borderId="12" applyAlignment="1" pivotButton="0" quotePrefix="0" xfId="11">
      <alignment horizontal="right" vertical="center" shrinkToFit="1"/>
    </xf>
    <xf numFmtId="190" fontId="77" fillId="0" borderId="3" applyAlignment="1" pivotButton="0" quotePrefix="0" xfId="11">
      <alignment horizontal="right" vertical="center" shrinkToFit="1"/>
    </xf>
    <xf numFmtId="190" fontId="77" fillId="0" borderId="18" applyAlignment="1" pivotButton="0" quotePrefix="0" xfId="11">
      <alignment horizontal="right" vertical="center" shrinkToFit="1"/>
    </xf>
    <xf numFmtId="191" fontId="77" fillId="0" borderId="12" applyAlignment="1" pivotButton="0" quotePrefix="0" xfId="11">
      <alignment horizontal="right" vertical="center" wrapText="1" shrinkToFit="1"/>
    </xf>
    <xf numFmtId="191" fontId="77" fillId="0" borderId="3" applyAlignment="1" pivotButton="0" quotePrefix="0" xfId="11">
      <alignment horizontal="right" vertical="center" wrapText="1" shrinkToFit="1"/>
    </xf>
    <xf numFmtId="191" fontId="77" fillId="0" borderId="18" applyAlignment="1" pivotButton="0" quotePrefix="0" xfId="11">
      <alignment horizontal="right" vertical="center" wrapText="1" shrinkToFit="1"/>
    </xf>
    <xf numFmtId="0" fontId="74" fillId="0" borderId="12" applyAlignment="1" pivotButton="0" quotePrefix="0" xfId="11">
      <alignment horizontal="center" vertical="center"/>
    </xf>
    <xf numFmtId="0" fontId="74" fillId="0" borderId="18" applyAlignment="1" pivotButton="0" quotePrefix="0" xfId="11">
      <alignment horizontal="center" vertical="center"/>
    </xf>
    <xf numFmtId="0" fontId="74" fillId="0" borderId="3" applyAlignment="1" pivotButton="0" quotePrefix="0" xfId="11">
      <alignment horizontal="center" vertical="center"/>
    </xf>
    <xf numFmtId="0" fontId="74" fillId="0" borderId="121" applyAlignment="1" pivotButton="0" quotePrefix="0" xfId="11">
      <alignment horizontal="center" vertical="center"/>
    </xf>
    <xf numFmtId="0" fontId="76" fillId="0" borderId="122" applyAlignment="1" pivotButton="0" quotePrefix="0" xfId="11">
      <alignment horizontal="left" vertical="center" wrapText="1"/>
    </xf>
    <xf numFmtId="0" fontId="76" fillId="0" borderId="123" applyAlignment="1" pivotButton="0" quotePrefix="0" xfId="11">
      <alignment horizontal="left" vertical="center"/>
    </xf>
    <xf numFmtId="0" fontId="76" fillId="0" borderId="124" applyAlignment="1" pivotButton="0" quotePrefix="0" xfId="11">
      <alignment horizontal="left" vertical="center"/>
    </xf>
    <xf numFmtId="0" fontId="74" fillId="0" borderId="0" applyAlignment="1" pivotButton="0" quotePrefix="0" xfId="11">
      <alignment horizontal="left" vertical="center"/>
    </xf>
    <xf numFmtId="0" fontId="73" fillId="0" borderId="0" applyAlignment="1" pivotButton="0" quotePrefix="0" xfId="11">
      <alignment horizontal="center" vertical="center"/>
    </xf>
    <xf numFmtId="0" fontId="74" fillId="0" borderId="0" applyAlignment="1" pivotButton="0" quotePrefix="0" xfId="11">
      <alignment horizontal="center" vertical="center"/>
    </xf>
    <xf numFmtId="14" fontId="74" fillId="0" borderId="0" applyAlignment="1" pivotButton="0" quotePrefix="0" xfId="11">
      <alignment horizontal="right" vertical="center"/>
    </xf>
    <xf numFmtId="0" fontId="74" fillId="0" borderId="0" applyAlignment="1" pivotButton="0" quotePrefix="0" xfId="11">
      <alignment horizontal="right" vertical="center"/>
    </xf>
    <xf numFmtId="192" fontId="76" fillId="0" borderId="0" applyAlignment="1" pivotButton="0" quotePrefix="0" xfId="11">
      <alignment horizontal="center" vertical="center"/>
    </xf>
    <xf numFmtId="0" fontId="74" fillId="0" borderId="108" applyAlignment="1" pivotButton="0" quotePrefix="0" xfId="11">
      <alignment horizontal="center" vertical="center"/>
    </xf>
    <xf numFmtId="0" fontId="74" fillId="0" borderId="109" applyAlignment="1" pivotButton="0" quotePrefix="0" xfId="11">
      <alignment horizontal="center" vertical="center"/>
    </xf>
    <xf numFmtId="0" fontId="74" fillId="0" borderId="113" applyAlignment="1" pivotButton="0" quotePrefix="0" xfId="11">
      <alignment horizontal="center" vertical="center"/>
    </xf>
    <xf numFmtId="0" fontId="74" fillId="0" borderId="22" applyAlignment="1" pivotButton="0" quotePrefix="0" xfId="11">
      <alignment horizontal="center" vertical="center"/>
    </xf>
    <xf numFmtId="0" fontId="74" fillId="0" borderId="110" applyAlignment="1" pivotButton="0" quotePrefix="0" xfId="11">
      <alignment horizontal="center" vertical="center"/>
    </xf>
    <xf numFmtId="0" fontId="77" fillId="0" borderId="111" applyAlignment="1" pivotButton="0" quotePrefix="0" xfId="11">
      <alignment horizontal="left" vertical="center" indent="2"/>
    </xf>
    <xf numFmtId="0" fontId="77" fillId="0" borderId="112" applyAlignment="1" pivotButton="0" quotePrefix="0" xfId="11">
      <alignment horizontal="left" vertical="center" indent="2"/>
    </xf>
    <xf numFmtId="0" fontId="77" fillId="0" borderId="12" applyAlignment="1" pivotButton="0" quotePrefix="0" xfId="11">
      <alignment horizontal="right" vertical="center" wrapText="1"/>
    </xf>
    <xf numFmtId="0" fontId="77" fillId="0" borderId="3" applyAlignment="1" pivotButton="0" quotePrefix="0" xfId="11">
      <alignment horizontal="right" vertical="center" wrapText="1"/>
    </xf>
    <xf numFmtId="0" fontId="55" fillId="0" borderId="0" applyAlignment="1" pivotButton="0" quotePrefix="0" xfId="12">
      <alignment horizontal="distributed" vertical="center"/>
    </xf>
    <xf numFmtId="58" fontId="55" fillId="0" borderId="0" applyAlignment="1" pivotButton="0" quotePrefix="0" xfId="12">
      <alignment horizontal="center" vertical="center"/>
    </xf>
    <xf numFmtId="0" fontId="55" fillId="0" borderId="2" applyAlignment="1" pivotButton="0" quotePrefix="0" xfId="12">
      <alignment horizontal="distributed" vertical="center"/>
    </xf>
    <xf numFmtId="0" fontId="55" fillId="0" borderId="2" applyAlignment="1" pivotButton="0" quotePrefix="0" xfId="12">
      <alignment horizontal="left" vertical="center"/>
    </xf>
    <xf numFmtId="0" fontId="55" fillId="0" borderId="2" applyAlignment="1" pivotButton="0" quotePrefix="0" xfId="12">
      <alignment horizontal="center" vertical="center"/>
    </xf>
    <xf numFmtId="193" fontId="58" fillId="0" borderId="2" applyAlignment="1" pivotButton="0" quotePrefix="0" xfId="13">
      <alignment horizontal="center" vertical="center"/>
    </xf>
    <xf numFmtId="0" fontId="55" fillId="0" borderId="0" applyAlignment="1" pivotButton="0" quotePrefix="0" xfId="12">
      <alignment horizontal="left" vertical="center"/>
    </xf>
    <xf numFmtId="193" fontId="58" fillId="0" borderId="2" applyAlignment="1" pivotButton="0" quotePrefix="0" xfId="2">
      <alignment horizontal="center" vertical="center"/>
    </xf>
    <xf numFmtId="0" fontId="55" fillId="0" borderId="0" applyAlignment="1" pivotButton="0" quotePrefix="0" xfId="12">
      <alignment horizontal="center" vertical="center"/>
    </xf>
    <xf numFmtId="0" fontId="55" fillId="0" borderId="12" applyAlignment="1" pivotButton="0" quotePrefix="0" xfId="12">
      <alignment horizontal="left" vertical="center"/>
    </xf>
    <xf numFmtId="0" fontId="55" fillId="0" borderId="3" applyAlignment="1" pivotButton="0" quotePrefix="0" xfId="12">
      <alignment horizontal="left" vertical="center"/>
    </xf>
    <xf numFmtId="0" fontId="55" fillId="0" borderId="18" applyAlignment="1" pivotButton="0" quotePrefix="0" xfId="12">
      <alignment horizontal="left" vertical="center"/>
    </xf>
    <xf numFmtId="168" fontId="55" fillId="0" borderId="2" applyAlignment="1" pivotButton="0" quotePrefix="0" xfId="12">
      <alignment horizontal="right" vertical="center"/>
    </xf>
    <xf numFmtId="168" fontId="55" fillId="0" borderId="12" applyAlignment="1" pivotButton="0" quotePrefix="0" xfId="12">
      <alignment horizontal="right" vertical="center"/>
    </xf>
    <xf numFmtId="0" fontId="57" fillId="0" borderId="0" applyAlignment="1" pivotButton="0" quotePrefix="0" xfId="12">
      <alignment horizontal="center" vertical="center" wrapText="1"/>
    </xf>
    <xf numFmtId="0" fontId="54" fillId="0" borderId="0" applyAlignment="1" pivotButton="0" quotePrefix="0" xfId="12">
      <alignment horizontal="center" vertical="center"/>
    </xf>
    <xf numFmtId="58" fontId="55" fillId="0" borderId="0" applyAlignment="1" pivotButton="0" quotePrefix="0" xfId="12">
      <alignment horizontal="right" vertical="center"/>
    </xf>
    <xf numFmtId="0" fontId="55" fillId="0" borderId="0" applyAlignment="1" pivotButton="0" quotePrefix="0" xfId="12">
      <alignment horizontal="right" vertical="center"/>
    </xf>
    <xf numFmtId="0" fontId="55" fillId="0" borderId="6" applyAlignment="1" pivotButton="0" quotePrefix="0" xfId="12">
      <alignment horizontal="left" vertical="center"/>
    </xf>
    <xf numFmtId="0" fontId="69" fillId="0" borderId="125" applyAlignment="1" pivotButton="0" quotePrefix="0" xfId="15">
      <alignment vertical="center"/>
    </xf>
    <xf numFmtId="0" fontId="69" fillId="0" borderId="3" applyAlignment="1" pivotButton="0" quotePrefix="0" xfId="15">
      <alignment horizontal="center" vertical="center"/>
    </xf>
    <xf numFmtId="0" fontId="69" fillId="0" borderId="3" applyAlignment="1" pivotButton="0" quotePrefix="0" xfId="15">
      <alignment horizontal="left" vertical="center"/>
    </xf>
    <xf numFmtId="194" fontId="69" fillId="0" borderId="3" applyAlignment="1" pivotButton="0" quotePrefix="0" xfId="15">
      <alignment horizontal="center" vertical="center"/>
    </xf>
    <xf numFmtId="0" fontId="69" fillId="0" borderId="6" applyAlignment="1" pivotButton="0" quotePrefix="0" xfId="15">
      <alignment horizontal="center" vertical="center"/>
    </xf>
    <xf numFmtId="195" fontId="69" fillId="0" borderId="0" applyAlignment="1" pivotButton="0" quotePrefix="0" xfId="15">
      <alignment horizontal="center" vertical="center"/>
    </xf>
    <xf numFmtId="0" fontId="69" fillId="0" borderId="0" applyAlignment="1" pivotButton="0" quotePrefix="0" xfId="15">
      <alignment horizontal="center" vertical="center"/>
    </xf>
    <xf numFmtId="0" fontId="69" fillId="0" borderId="78" applyAlignment="1" pivotButton="0" quotePrefix="0" xfId="15">
      <alignment vertical="center"/>
    </xf>
    <xf numFmtId="0" fontId="69" fillId="0" borderId="51" applyAlignment="1" pivotButton="0" quotePrefix="0" xfId="15">
      <alignment vertical="center"/>
    </xf>
    <xf numFmtId="0" fontId="69" fillId="0" borderId="16" applyAlignment="1" pivotButton="0" quotePrefix="0" xfId="16">
      <alignment horizontal="left" vertical="top" wrapText="1"/>
    </xf>
    <xf numFmtId="0" fontId="69" fillId="0" borderId="16" applyAlignment="1" pivotButton="0" quotePrefix="0" xfId="16">
      <alignment horizontal="left" vertical="top"/>
    </xf>
    <xf numFmtId="0" fontId="69" fillId="0" borderId="6" applyAlignment="1" pivotButton="0" quotePrefix="0" xfId="16">
      <alignment horizontal="left" vertical="top"/>
    </xf>
    <xf numFmtId="0" fontId="69" fillId="0" borderId="16" applyAlignment="1" pivotButton="0" quotePrefix="0" xfId="16">
      <alignment horizontal="center" vertical="center"/>
    </xf>
    <xf numFmtId="0" fontId="69" fillId="0" borderId="6" applyAlignment="1" pivotButton="0" quotePrefix="0" xfId="16">
      <alignment horizontal="center" vertical="center"/>
    </xf>
    <xf numFmtId="0" fontId="67" fillId="0" borderId="0" applyAlignment="1" pivotButton="0" quotePrefix="0" xfId="15">
      <alignment horizontal="center" vertical="center"/>
    </xf>
    <xf numFmtId="14" fontId="69" fillId="0" borderId="0" applyAlignment="1" pivotButton="0" quotePrefix="0" xfId="15">
      <alignment horizontal="center" vertical="center"/>
    </xf>
    <xf numFmtId="49" fontId="71" fillId="0" borderId="0" applyAlignment="1" pivotButton="0" quotePrefix="0" xfId="16">
      <alignment horizontal="center" vertical="center"/>
    </xf>
    <xf numFmtId="49" fontId="71" fillId="0" borderId="6" applyAlignment="1" pivotButton="0" quotePrefix="0" xfId="16">
      <alignment horizontal="center" vertical="center"/>
    </xf>
    <xf numFmtId="0" fontId="69" fillId="0" borderId="0" applyAlignment="1" pivotButton="0" quotePrefix="0" xfId="15">
      <alignment vertical="center"/>
    </xf>
    <xf numFmtId="0" fontId="69" fillId="0" borderId="6" applyAlignment="1" pivotButton="0" quotePrefix="0" xfId="15">
      <alignment vertical="center"/>
    </xf>
    <xf numFmtId="0" fontId="69" fillId="0" borderId="0" applyAlignment="1" pivotButton="0" quotePrefix="0" xfId="16">
      <alignment horizontal="left" vertical="top" wrapText="1"/>
    </xf>
    <xf numFmtId="0" fontId="69" fillId="0" borderId="0" applyAlignment="1" pivotButton="0" quotePrefix="0" xfId="16">
      <alignment horizontal="left" vertical="top"/>
    </xf>
    <xf numFmtId="194" fontId="13" fillId="0" borderId="3" applyAlignment="1" pivotButton="0" quotePrefix="0" xfId="15">
      <alignment horizontal="center" vertical="center"/>
    </xf>
    <xf numFmtId="0" fontId="14" fillId="0" borderId="16" applyAlignment="1" pivotButton="0" quotePrefix="0" xfId="17">
      <alignment horizontal="left" vertical="top" wrapText="1"/>
    </xf>
    <xf numFmtId="0" fontId="14" fillId="0" borderId="6" applyAlignment="1" pivotButton="0" quotePrefix="0" xfId="17">
      <alignment horizontal="left" vertical="top" wrapText="1"/>
    </xf>
    <xf numFmtId="0" fontId="13" fillId="0" borderId="16" applyAlignment="1" pivotButton="0" quotePrefix="0" xfId="17">
      <alignment horizontal="left" vertical="center"/>
    </xf>
    <xf numFmtId="0" fontId="13" fillId="0" borderId="6" applyAlignment="1" pivotButton="0" quotePrefix="0" xfId="17">
      <alignment horizontal="left" vertical="center"/>
    </xf>
    <xf numFmtId="0" fontId="13" fillId="0" borderId="6" applyAlignment="1" pivotButton="0" quotePrefix="0" xfId="15">
      <alignment horizontal="center" vertical="center"/>
    </xf>
    <xf numFmtId="0" fontId="13" fillId="0" borderId="6" applyAlignment="1" pivotButton="0" quotePrefix="0" xfId="15">
      <alignment horizontal="left" vertical="center"/>
    </xf>
    <xf numFmtId="0" fontId="13" fillId="0" borderId="3" applyAlignment="1" pivotButton="0" quotePrefix="0" xfId="15">
      <alignment horizontal="center" vertical="center"/>
    </xf>
    <xf numFmtId="0" fontId="13" fillId="0" borderId="3" applyAlignment="1" pivotButton="0" quotePrefix="0" xfId="15">
      <alignment horizontal="left" vertical="center"/>
    </xf>
    <xf numFmtId="0" fontId="13" fillId="0" borderId="125" applyAlignment="1" pivotButton="0" quotePrefix="0" xfId="15">
      <alignment vertical="center"/>
    </xf>
    <xf numFmtId="181" fontId="65" fillId="0" borderId="0" applyAlignment="1" pivotButton="0" quotePrefix="0" xfId="15">
      <alignment horizontal="center" vertical="center" wrapText="1"/>
    </xf>
    <xf numFmtId="195" fontId="13" fillId="0" borderId="0" applyAlignment="1" pivotButton="0" quotePrefix="0" xfId="15">
      <alignment horizontal="center" vertical="center"/>
    </xf>
    <xf numFmtId="3" fontId="13" fillId="0" borderId="0" applyAlignment="1" pivotButton="0" quotePrefix="0" xfId="15">
      <alignment horizontal="center" vertical="center"/>
    </xf>
    <xf numFmtId="0" fontId="13" fillId="0" borderId="0" applyAlignment="1" pivotButton="0" quotePrefix="0" xfId="15">
      <alignment horizontal="center" vertical="center"/>
    </xf>
    <xf numFmtId="0" fontId="13" fillId="0" borderId="78" applyAlignment="1" pivotButton="0" quotePrefix="0" xfId="15">
      <alignment vertical="center"/>
    </xf>
    <xf numFmtId="0" fontId="13" fillId="0" borderId="51" applyAlignment="1" pivotButton="0" quotePrefix="0" xfId="15">
      <alignment vertical="center"/>
    </xf>
    <xf numFmtId="0" fontId="64" fillId="0" borderId="0" applyAlignment="1" pivotButton="0" quotePrefix="0" xfId="15">
      <alignment horizontal="center" vertical="center"/>
    </xf>
    <xf numFmtId="49" fontId="66" fillId="0" borderId="0" applyAlignment="1" pivotButton="0" quotePrefix="0" xfId="17">
      <alignment horizontal="center" vertical="center"/>
    </xf>
    <xf numFmtId="49" fontId="66" fillId="0" borderId="6" applyAlignment="1" pivotButton="0" quotePrefix="0" xfId="17">
      <alignment horizontal="center" vertical="center"/>
    </xf>
    <xf numFmtId="0" fontId="13" fillId="0" borderId="0" applyAlignment="1" pivotButton="0" quotePrefix="0" xfId="15">
      <alignment vertical="center"/>
    </xf>
    <xf numFmtId="0" fontId="13" fillId="0" borderId="6" applyAlignment="1" pivotButton="0" quotePrefix="0" xfId="15">
      <alignment vertical="center"/>
    </xf>
    <xf numFmtId="0" fontId="14" fillId="0" borderId="0" applyAlignment="1" pivotButton="0" quotePrefix="0" xfId="17">
      <alignment horizontal="left" vertical="top" wrapText="1"/>
    </xf>
    <xf numFmtId="0" fontId="13" fillId="0" borderId="0" applyAlignment="1" pivotButton="0" quotePrefix="0" xfId="17">
      <alignment horizontal="center" vertical="center"/>
    </xf>
    <xf numFmtId="0" fontId="0" fillId="0" borderId="3" pivotButton="0" quotePrefix="0" xfId="0"/>
    <xf numFmtId="0" fontId="0" fillId="0" borderId="18" pivotButton="0" quotePrefix="0" xfId="0"/>
    <xf numFmtId="164" fontId="12" fillId="9" borderId="15" pivotButton="0" quotePrefix="0" xfId="5"/>
    <xf numFmtId="0" fontId="0" fillId="0" borderId="0" applyProtection="1" pivotButton="0" quotePrefix="0" xfId="0">
      <protection locked="0" hidden="0"/>
    </xf>
    <xf numFmtId="0" fontId="22" fillId="2" borderId="146" applyAlignment="1" applyProtection="1" pivotButton="0" quotePrefix="0" xfId="0">
      <alignment horizontal="center" vertical="center" shrinkToFit="1"/>
      <protection locked="0" hidden="0"/>
    </xf>
    <xf numFmtId="0" fontId="0" fillId="0" borderId="26" applyProtection="1" pivotButton="0" quotePrefix="0" xfId="0">
      <protection locked="0" hidden="0"/>
    </xf>
    <xf numFmtId="0" fontId="0" fillId="0" borderId="27" applyProtection="1" pivotButton="0" quotePrefix="0" xfId="0">
      <protection locked="0" hidden="0"/>
    </xf>
    <xf numFmtId="0" fontId="22" fillId="11" borderId="142" applyAlignment="1" applyProtection="1" pivotButton="0" quotePrefix="0" xfId="0">
      <alignment horizontal="center" vertical="center"/>
      <protection locked="0" hidden="0"/>
    </xf>
    <xf numFmtId="0" fontId="0" fillId="0" borderId="145" applyProtection="1" pivotButton="0" quotePrefix="0" xfId="0">
      <protection locked="0" hidden="0"/>
    </xf>
    <xf numFmtId="165" fontId="22" fillId="10" borderId="0" applyAlignment="1" applyProtection="1" pivotButton="0" quotePrefix="0" xfId="2">
      <alignment horizontal="right" vertical="center"/>
      <protection locked="0" hidden="0"/>
    </xf>
    <xf numFmtId="166" fontId="22" fillId="0" borderId="32" applyAlignment="1" applyProtection="1" pivotButton="0" quotePrefix="0" xfId="0">
      <alignment vertical="center"/>
      <protection locked="0" hidden="0"/>
    </xf>
    <xf numFmtId="167" fontId="22" fillId="0" borderId="32" applyAlignment="1" applyProtection="1" pivotButton="0" quotePrefix="0" xfId="0">
      <alignment vertical="center"/>
      <protection locked="0" hidden="0"/>
    </xf>
    <xf numFmtId="165" fontId="22" fillId="0" borderId="40" applyAlignment="1" applyProtection="1" pivotButton="0" quotePrefix="0" xfId="2">
      <alignment horizontal="right" vertical="center"/>
      <protection locked="0" hidden="0"/>
    </xf>
    <xf numFmtId="165" fontId="22" fillId="0" borderId="0" applyAlignment="1" applyProtection="1" pivotButton="0" quotePrefix="0" xfId="2">
      <alignment horizontal="right" vertical="center"/>
      <protection locked="0" hidden="0"/>
    </xf>
    <xf numFmtId="173" fontId="16" fillId="5" borderId="0" applyAlignment="1" pivotButton="0" quotePrefix="0" xfId="5">
      <alignment horizontal="right" shrinkToFit="1"/>
    </xf>
    <xf numFmtId="166" fontId="22" fillId="0" borderId="51" applyAlignment="1" applyProtection="1" pivotButton="0" quotePrefix="0" xfId="0">
      <alignment vertical="center"/>
      <protection locked="0" hidden="0"/>
    </xf>
    <xf numFmtId="167" fontId="22" fillId="0" borderId="51" applyAlignment="1" applyProtection="1" pivotButton="0" quotePrefix="0" xfId="0">
      <alignment vertical="center"/>
      <protection locked="0" hidden="0"/>
    </xf>
    <xf numFmtId="165" fontId="22" fillId="0" borderId="9" applyAlignment="1" applyProtection="1" pivotButton="0" quotePrefix="0" xfId="2">
      <alignment horizontal="right" vertical="center"/>
      <protection locked="0" hidden="0"/>
    </xf>
    <xf numFmtId="168" fontId="22" fillId="0" borderId="51" applyAlignment="1" applyProtection="1" pivotButton="0" quotePrefix="0" xfId="0">
      <alignment horizontal="right" vertical="center"/>
      <protection locked="0" hidden="0"/>
    </xf>
    <xf numFmtId="0" fontId="0" fillId="0" borderId="51" applyProtection="1" pivotButton="0" quotePrefix="0" xfId="0">
      <protection locked="0" hidden="0"/>
    </xf>
    <xf numFmtId="169" fontId="22" fillId="0" borderId="9" applyAlignment="1" applyProtection="1" pivotButton="0" quotePrefix="0" xfId="2">
      <alignment horizontal="right" vertical="center"/>
      <protection locked="0" hidden="0"/>
    </xf>
    <xf numFmtId="165" fontId="22" fillId="0" borderId="46" applyAlignment="1" applyProtection="1" pivotButton="0" quotePrefix="0" xfId="2">
      <alignment horizontal="right" vertical="center"/>
      <protection locked="0" hidden="0"/>
    </xf>
    <xf numFmtId="165" fontId="22" fillId="0" borderId="84" applyAlignment="1" applyProtection="1" pivotButton="0" quotePrefix="0" xfId="0">
      <alignment vertical="center"/>
      <protection locked="0" hidden="0"/>
    </xf>
    <xf numFmtId="186" fontId="22" fillId="0" borderId="0" applyAlignment="1" applyProtection="1" pivotButton="0" quotePrefix="0" xfId="0">
      <alignment vertical="center"/>
      <protection locked="0" hidden="0"/>
    </xf>
    <xf numFmtId="170" fontId="22" fillId="0" borderId="51" applyAlignment="1" applyProtection="1" pivotButton="0" quotePrefix="0" xfId="0">
      <alignment vertical="center"/>
      <protection locked="0" hidden="0"/>
    </xf>
    <xf numFmtId="165" fontId="22" fillId="0" borderId="82" applyAlignment="1" applyProtection="1" pivotButton="0" quotePrefix="0" xfId="2">
      <alignment horizontal="right" vertical="center"/>
      <protection locked="0" hidden="0"/>
    </xf>
    <xf numFmtId="165" fontId="22" fillId="0" borderId="83" applyAlignment="1" applyProtection="1" pivotButton="0" quotePrefix="0" xfId="0">
      <alignment vertical="center"/>
      <protection locked="0" hidden="0"/>
    </xf>
    <xf numFmtId="171" fontId="22" fillId="0" borderId="51" applyAlignment="1" applyProtection="1" pivotButton="0" quotePrefix="0" xfId="0">
      <alignment horizontal="right" vertical="center"/>
      <protection locked="0" hidden="0"/>
    </xf>
    <xf numFmtId="39" fontId="15" fillId="0" borderId="147" applyAlignment="1" applyProtection="1" pivotButton="0" quotePrefix="0" xfId="8">
      <alignment horizontal="left" vertical="center"/>
      <protection locked="0" hidden="0"/>
    </xf>
    <xf numFmtId="0" fontId="0" fillId="0" borderId="43" applyProtection="1" pivotButton="0" quotePrefix="0" xfId="0">
      <protection locked="0" hidden="0"/>
    </xf>
    <xf numFmtId="172" fontId="22" fillId="0" borderId="38" applyAlignment="1" applyProtection="1" pivotButton="0" quotePrefix="0" xfId="0">
      <alignment horizontal="left" vertical="center" shrinkToFit="1"/>
      <protection locked="0" hidden="0"/>
    </xf>
    <xf numFmtId="169" fontId="22" fillId="0" borderId="30" applyAlignment="1" applyProtection="1" pivotButton="0" quotePrefix="0" xfId="2">
      <alignment vertical="center"/>
      <protection locked="0" hidden="0"/>
    </xf>
    <xf numFmtId="165" fontId="22" fillId="0" borderId="76" applyAlignment="1" applyProtection="1" pivotButton="0" quotePrefix="0" xfId="2">
      <alignment horizontal="right" vertical="center"/>
      <protection locked="0" hidden="0"/>
    </xf>
    <xf numFmtId="179" fontId="22" fillId="0" borderId="81" applyAlignment="1" applyProtection="1" pivotButton="0" quotePrefix="0" xfId="0">
      <alignment vertical="center"/>
      <protection locked="0" hidden="0"/>
    </xf>
    <xf numFmtId="0" fontId="0" fillId="0" borderId="4" applyProtection="1" pivotButton="0" quotePrefix="0" xfId="0">
      <protection locked="0" hidden="0"/>
    </xf>
    <xf numFmtId="165" fontId="22" fillId="0" borderId="11" applyAlignment="1" applyProtection="1" pivotButton="0" quotePrefix="0" xfId="2">
      <alignment vertical="center"/>
      <protection locked="0" hidden="0"/>
    </xf>
    <xf numFmtId="0" fontId="0" fillId="0" borderId="137" applyProtection="1" pivotButton="0" quotePrefix="0" xfId="0">
      <protection locked="0" hidden="0"/>
    </xf>
    <xf numFmtId="166" fontId="22" fillId="0" borderId="139" applyAlignment="1" applyProtection="1" pivotButton="0" quotePrefix="0" xfId="0">
      <alignment vertical="center"/>
      <protection locked="0" hidden="0"/>
    </xf>
    <xf numFmtId="176" fontId="22" fillId="0" borderId="140" applyAlignment="1" applyProtection="1" pivotButton="0" quotePrefix="0" xfId="0">
      <alignment vertical="center"/>
      <protection locked="0" hidden="0"/>
    </xf>
    <xf numFmtId="37" fontId="22" fillId="0" borderId="57" applyAlignment="1" applyProtection="1" pivotButton="0" quotePrefix="0" xfId="0">
      <alignment horizontal="right" vertical="center"/>
      <protection locked="0" hidden="0"/>
    </xf>
    <xf numFmtId="0" fontId="0" fillId="0" borderId="14" applyProtection="1" pivotButton="0" quotePrefix="0" xfId="0">
      <protection locked="0" hidden="0"/>
    </xf>
    <xf numFmtId="173" fontId="22" fillId="0" borderId="57" applyAlignment="1" applyProtection="1" pivotButton="0" quotePrefix="0" xfId="0">
      <alignment horizontal="center" vertical="center"/>
      <protection locked="0" hidden="0"/>
    </xf>
    <xf numFmtId="165" fontId="22" fillId="10" borderId="0" applyAlignment="1" applyProtection="1" pivotButton="0" quotePrefix="0" xfId="2">
      <alignment vertical="center"/>
      <protection locked="0" hidden="0"/>
    </xf>
    <xf numFmtId="166" fontId="22" fillId="0" borderId="77" applyAlignment="1" applyProtection="1" pivotButton="0" quotePrefix="0" xfId="0">
      <alignment vertical="center"/>
      <protection locked="0" hidden="0"/>
    </xf>
    <xf numFmtId="176" fontId="22" fillId="0" borderId="78" applyAlignment="1" applyProtection="1" pivotButton="0" quotePrefix="0" xfId="0">
      <alignment vertical="center"/>
      <protection locked="0" hidden="0"/>
    </xf>
    <xf numFmtId="38" fontId="22" fillId="0" borderId="57" applyAlignment="1" applyProtection="1" pivotButton="0" quotePrefix="0" xfId="2">
      <alignment horizontal="right" vertical="center"/>
      <protection locked="0" hidden="0"/>
    </xf>
    <xf numFmtId="0" fontId="0" fillId="0" borderId="75" applyProtection="1" pivotButton="0" quotePrefix="0" xfId="0">
      <protection locked="0" hidden="0"/>
    </xf>
    <xf numFmtId="0" fontId="0" fillId="0" borderId="73" applyProtection="1" pivotButton="0" quotePrefix="0" xfId="0">
      <protection locked="0" hidden="0"/>
    </xf>
    <xf numFmtId="37" fontId="22" fillId="0" borderId="74" applyAlignment="1" applyProtection="1" pivotButton="0" quotePrefix="0" xfId="0">
      <alignment horizontal="right" vertical="center"/>
      <protection locked="0" hidden="0"/>
    </xf>
    <xf numFmtId="0" fontId="0" fillId="0" borderId="135" applyProtection="1" pivotButton="0" quotePrefix="0" xfId="0">
      <protection locked="0" hidden="0"/>
    </xf>
    <xf numFmtId="173" fontId="22" fillId="10" borderId="74" applyAlignment="1" applyProtection="1" pivotButton="0" quotePrefix="0" xfId="0">
      <alignment horizontal="center" vertical="center"/>
      <protection locked="0" hidden="0"/>
    </xf>
    <xf numFmtId="37" fontId="22" fillId="0" borderId="56" applyAlignment="1" applyProtection="1" pivotButton="0" quotePrefix="0" xfId="0">
      <alignment horizontal="right" vertical="center"/>
      <protection locked="0" hidden="0"/>
    </xf>
    <xf numFmtId="0" fontId="0" fillId="0" borderId="54" applyProtection="1" pivotButton="0" quotePrefix="0" xfId="0">
      <protection locked="0" hidden="0"/>
    </xf>
    <xf numFmtId="173" fontId="22" fillId="0" borderId="45" applyAlignment="1" applyProtection="1" pivotButton="0" quotePrefix="0" xfId="0">
      <alignment horizontal="left" vertical="center" shrinkToFit="1"/>
      <protection locked="0" hidden="0"/>
    </xf>
    <xf numFmtId="166" fontId="22" fillId="0" borderId="17" applyAlignment="1" applyProtection="1" pivotButton="0" quotePrefix="0" xfId="0">
      <alignment vertical="center"/>
      <protection locked="0" hidden="0"/>
    </xf>
    <xf numFmtId="176" fontId="22" fillId="0" borderId="0" applyAlignment="1" applyProtection="1" pivotButton="0" quotePrefix="0" xfId="0">
      <alignment vertical="center"/>
      <protection locked="0" hidden="0"/>
    </xf>
    <xf numFmtId="37" fontId="22" fillId="0" borderId="73" applyAlignment="1" applyProtection="1" pivotButton="0" quotePrefix="0" xfId="0">
      <alignment horizontal="right" vertical="center"/>
      <protection locked="0" hidden="0"/>
    </xf>
    <xf numFmtId="0" fontId="0" fillId="0" borderId="133" applyProtection="1" pivotButton="0" quotePrefix="0" xfId="0">
      <protection locked="0" hidden="0"/>
    </xf>
    <xf numFmtId="173" fontId="22" fillId="0" borderId="73" applyAlignment="1" applyProtection="1" pivotButton="0" quotePrefix="0" xfId="0">
      <alignment horizontal="center" vertical="center"/>
      <protection locked="0" hidden="0"/>
    </xf>
    <xf numFmtId="173" fontId="22" fillId="0" borderId="134" applyAlignment="1" applyProtection="1" pivotButton="0" quotePrefix="0" xfId="0">
      <alignment horizontal="left" vertical="center" shrinkToFit="1"/>
      <protection locked="0" hidden="0"/>
    </xf>
    <xf numFmtId="165" fontId="22" fillId="5" borderId="0" applyAlignment="1" applyProtection="1" pivotButton="0" quotePrefix="0" xfId="0">
      <alignment vertical="center"/>
      <protection locked="0" hidden="0"/>
    </xf>
    <xf numFmtId="173" fontId="22" fillId="0" borderId="47" applyAlignment="1" applyProtection="1" pivotButton="0" quotePrefix="0" xfId="0">
      <alignment horizontal="left" vertical="center" shrinkToFit="1"/>
      <protection locked="0" hidden="0"/>
    </xf>
    <xf numFmtId="174" fontId="22" fillId="0" borderId="51" applyAlignment="1" applyProtection="1" pivotButton="0" quotePrefix="0" xfId="0">
      <alignment horizontal="left" vertical="center"/>
      <protection locked="0" hidden="0"/>
    </xf>
    <xf numFmtId="173" fontId="22" fillId="10" borderId="57" applyAlignment="1" applyProtection="1" pivotButton="0" quotePrefix="0" xfId="0">
      <alignment horizontal="center" vertical="center"/>
      <protection locked="0" hidden="0"/>
    </xf>
    <xf numFmtId="166" fontId="22" fillId="0" borderId="51" applyAlignment="1" applyProtection="1" pivotButton="0" quotePrefix="0" xfId="0">
      <alignment horizontal="left" vertical="center"/>
      <protection locked="0" hidden="0"/>
    </xf>
    <xf numFmtId="175" fontId="22" fillId="0" borderId="51" applyAlignment="1" applyProtection="1" pivotButton="0" quotePrefix="0" xfId="0">
      <alignment vertical="center"/>
      <protection locked="0" hidden="0"/>
    </xf>
    <xf numFmtId="37" fontId="22" fillId="0" borderId="58" applyAlignment="1" applyProtection="1" pivotButton="0" quotePrefix="0" xfId="0">
      <alignment horizontal="right" vertical="center"/>
      <protection locked="0" hidden="0"/>
    </xf>
    <xf numFmtId="0" fontId="0" fillId="0" borderId="61" applyProtection="1" pivotButton="0" quotePrefix="0" xfId="0">
      <protection locked="0" hidden="0"/>
    </xf>
    <xf numFmtId="173" fontId="22" fillId="10" borderId="58" applyAlignment="1" applyProtection="1" pivotButton="0" quotePrefix="0" xfId="0">
      <alignment horizontal="center" vertical="center"/>
      <protection locked="0" hidden="0"/>
    </xf>
    <xf numFmtId="173" fontId="22" fillId="0" borderId="49" applyAlignment="1" applyProtection="1" pivotButton="0" quotePrefix="0" xfId="0">
      <alignment horizontal="left" vertical="center" shrinkToFit="1"/>
      <protection locked="0" hidden="0"/>
    </xf>
    <xf numFmtId="0" fontId="0" fillId="0" borderId="71" applyProtection="1" pivotButton="0" quotePrefix="0" xfId="0">
      <protection locked="0" hidden="0"/>
    </xf>
    <xf numFmtId="185" fontId="25" fillId="10" borderId="5" applyAlignment="1" applyProtection="1" pivotButton="0" quotePrefix="0" xfId="3">
      <alignment horizontal="left" vertical="center"/>
      <protection locked="0" hidden="0"/>
    </xf>
    <xf numFmtId="184" fontId="22" fillId="10" borderId="5" applyAlignment="1" applyProtection="1" pivotButton="0" quotePrefix="0" xfId="0">
      <alignment horizontal="left" vertical="center"/>
      <protection locked="0" hidden="0"/>
    </xf>
    <xf numFmtId="173" fontId="22" fillId="0" borderId="56" applyAlignment="1" applyProtection="1" pivotButton="0" quotePrefix="0" xfId="0">
      <alignment horizontal="center" vertical="center"/>
      <protection locked="0" hidden="0"/>
    </xf>
    <xf numFmtId="173" fontId="22" fillId="0" borderId="45" applyAlignment="1" applyProtection="1" pivotButton="0" quotePrefix="0" xfId="0">
      <alignment horizontal="center" vertical="center" shrinkToFit="1"/>
      <protection locked="0" hidden="0"/>
    </xf>
    <xf numFmtId="187" fontId="22" fillId="10" borderId="78" applyAlignment="1" applyProtection="1" pivotButton="0" quotePrefix="0" xfId="0">
      <alignment vertical="center"/>
      <protection locked="0" hidden="0"/>
    </xf>
    <xf numFmtId="173" fontId="22" fillId="0" borderId="134" applyAlignment="1" applyProtection="1" pivotButton="0" quotePrefix="0" xfId="0">
      <alignment horizontal="center" vertical="center" shrinkToFit="1"/>
      <protection locked="0" hidden="0"/>
    </xf>
    <xf numFmtId="185" fontId="25" fillId="0" borderId="53" applyAlignment="1" applyProtection="1" pivotButton="0" quotePrefix="0" xfId="3">
      <alignment vertical="center"/>
      <protection locked="0" hidden="0"/>
    </xf>
    <xf numFmtId="173" fontId="22" fillId="0" borderId="58" applyAlignment="1" applyProtection="1" pivotButton="0" quotePrefix="0" xfId="0">
      <alignment horizontal="center" vertical="center"/>
      <protection locked="0" hidden="0"/>
    </xf>
    <xf numFmtId="173" fontId="22" fillId="0" borderId="49" applyAlignment="1" applyProtection="1" pivotButton="0" quotePrefix="0" xfId="0">
      <alignment horizontal="center" vertical="center" shrinkToFit="1"/>
      <protection locked="0" hidden="0"/>
    </xf>
    <xf numFmtId="188" fontId="22" fillId="0" borderId="0" applyAlignment="1" applyProtection="1" pivotButton="0" quotePrefix="0" xfId="0">
      <alignment horizontal="right" vertical="center"/>
      <protection locked="0" hidden="0"/>
    </xf>
    <xf numFmtId="178" fontId="14" fillId="0" borderId="0" applyAlignment="1" pivotButton="0" quotePrefix="0" xfId="0">
      <alignment vertical="center"/>
    </xf>
    <xf numFmtId="177" fontId="28" fillId="0" borderId="2" applyAlignment="1" pivotButton="0" quotePrefix="0" xfId="0">
      <alignment vertical="center"/>
    </xf>
    <xf numFmtId="177" fontId="14" fillId="0" borderId="2" applyAlignment="1" pivotButton="0" quotePrefix="0" xfId="0">
      <alignment vertical="center"/>
    </xf>
    <xf numFmtId="178" fontId="28" fillId="0" borderId="2" applyAlignment="1" pivotButton="0" quotePrefix="0" xfId="2">
      <alignment vertical="center"/>
    </xf>
    <xf numFmtId="0" fontId="83" fillId="13" borderId="2" applyAlignment="1" pivotButton="0" quotePrefix="0" xfId="18">
      <alignment horizontal="center" vertical="center"/>
    </xf>
    <xf numFmtId="0" fontId="0" fillId="0" borderId="7" pivotButton="0" quotePrefix="0" xfId="0"/>
    <xf numFmtId="183" fontId="84" fillId="0" borderId="6" applyAlignment="1" pivotButton="0" quotePrefix="0" xfId="18">
      <alignment horizontal="right" vertical="center"/>
    </xf>
    <xf numFmtId="183" fontId="84" fillId="0" borderId="12" applyAlignment="1" pivotButton="0" quotePrefix="0" xfId="18">
      <alignment horizontal="right" vertical="center"/>
    </xf>
    <xf numFmtId="183" fontId="84" fillId="13" borderId="6" applyAlignment="1" pivotButton="0" quotePrefix="0" xfId="18">
      <alignment horizontal="right" vertical="center"/>
    </xf>
    <xf numFmtId="183" fontId="84" fillId="13" borderId="12" applyAlignment="1" pivotButton="0" quotePrefix="0" xfId="18">
      <alignment horizontal="right" vertical="center"/>
    </xf>
    <xf numFmtId="182" fontId="83" fillId="0" borderId="3" applyAlignment="1" pivotButton="0" quotePrefix="0" xfId="18">
      <alignment horizontal="centerContinuous" vertical="center"/>
    </xf>
    <xf numFmtId="182" fontId="83" fillId="0" borderId="12" applyAlignment="1" pivotButton="0" quotePrefix="0" xfId="18">
      <alignment horizontal="centerContinuous" vertical="center"/>
    </xf>
    <xf numFmtId="183" fontId="84" fillId="0" borderId="128" applyAlignment="1" pivotButton="0" quotePrefix="0" xfId="18">
      <alignment vertical="center"/>
    </xf>
    <xf numFmtId="183" fontId="83" fillId="0" borderId="32" applyAlignment="1" pivotButton="0" quotePrefix="0" xfId="18">
      <alignment vertical="center"/>
    </xf>
    <xf numFmtId="183" fontId="83" fillId="0" borderId="129" applyAlignment="1" pivotButton="0" quotePrefix="0" xfId="18">
      <alignment vertical="center"/>
    </xf>
    <xf numFmtId="183" fontId="84" fillId="6" borderId="128" applyAlignment="1" pivotButton="0" quotePrefix="0" xfId="18">
      <alignment vertical="center"/>
    </xf>
    <xf numFmtId="183" fontId="83" fillId="6" borderId="32" applyAlignment="1" pivotButton="0" quotePrefix="0" xfId="18">
      <alignment vertical="center"/>
    </xf>
    <xf numFmtId="183" fontId="83" fillId="6" borderId="129" applyAlignment="1" pivotButton="0" quotePrefix="0" xfId="18">
      <alignment vertical="center"/>
    </xf>
    <xf numFmtId="183" fontId="84" fillId="13" borderId="128" applyAlignment="1" pivotButton="0" quotePrefix="0" xfId="18">
      <alignment vertical="center"/>
    </xf>
    <xf numFmtId="183" fontId="83" fillId="13" borderId="32" applyAlignment="1" pivotButton="0" quotePrefix="0" xfId="18">
      <alignment vertical="center"/>
    </xf>
    <xf numFmtId="183" fontId="85" fillId="0" borderId="129" applyAlignment="1" pivotButton="0" quotePrefix="0" xfId="18">
      <alignment vertical="center"/>
    </xf>
    <xf numFmtId="183" fontId="84" fillId="0" borderId="129" applyAlignment="1" pivotButton="0" quotePrefix="0" xfId="18">
      <alignment vertical="center"/>
    </xf>
    <xf numFmtId="0" fontId="0" fillId="0" borderId="149" pivotButton="0" quotePrefix="0" xfId="0"/>
    <xf numFmtId="0" fontId="0" fillId="0" borderId="151" pivotButton="0" quotePrefix="0" xfId="0"/>
    <xf numFmtId="0" fontId="34" fillId="17" borderId="2" applyAlignment="1" applyProtection="1" pivotButton="0" quotePrefix="0" xfId="9">
      <alignment vertical="center" shrinkToFit="1"/>
      <protection locked="0" hidden="0"/>
    </xf>
    <xf numFmtId="0" fontId="0" fillId="0" borderId="16" applyProtection="1" pivotButton="0" quotePrefix="0" xfId="0">
      <protection locked="0" hidden="0"/>
    </xf>
    <xf numFmtId="0" fontId="0" fillId="0" borderId="20" applyProtection="1" pivotButton="0" quotePrefix="0" xfId="0">
      <protection locked="0" hidden="0"/>
    </xf>
    <xf numFmtId="181" fontId="44" fillId="18" borderId="18" applyAlignment="1" applyProtection="1" pivotButton="0" quotePrefix="0" xfId="9">
      <alignment horizontal="center" vertical="center" shrinkToFit="1"/>
      <protection locked="0" hidden="0"/>
    </xf>
    <xf numFmtId="0" fontId="0" fillId="0" borderId="16" pivotButton="0" quotePrefix="0" xfId="0"/>
    <xf numFmtId="0" fontId="0" fillId="0" borderId="20" pivotButton="0" quotePrefix="0" xfId="0"/>
    <xf numFmtId="0" fontId="34" fillId="17" borderId="2" applyAlignment="1" applyProtection="1" pivotButton="0" quotePrefix="0" xfId="9">
      <alignment horizontal="center" vertical="center" shrinkToFit="1"/>
      <protection locked="0" hidden="0"/>
    </xf>
    <xf numFmtId="0" fontId="0" fillId="0" borderId="153" pivotButton="0" quotePrefix="0" xfId="0"/>
    <xf numFmtId="0" fontId="0" fillId="0" borderId="154" pivotButton="0" quotePrefix="0" xfId="0"/>
    <xf numFmtId="0" fontId="0" fillId="0" borderId="155" pivotButton="0" quotePrefix="0" xfId="0"/>
    <xf numFmtId="0" fontId="0" fillId="0" borderId="13" applyProtection="1" pivotButton="0" quotePrefix="0" xfId="0">
      <protection locked="0" hidden="0"/>
    </xf>
    <xf numFmtId="0" fontId="0" fillId="0" borderId="6" applyProtection="1" pivotButton="0" quotePrefix="0" xfId="0">
      <protection locked="0" hidden="0"/>
    </xf>
    <xf numFmtId="0" fontId="0" fillId="0" borderId="22" applyProtection="1" pivotButton="0" quotePrefix="0" xfId="0">
      <protection locked="0" hidden="0"/>
    </xf>
    <xf numFmtId="0" fontId="0" fillId="0" borderId="13" pivotButton="0" quotePrefix="0" xfId="0"/>
    <xf numFmtId="0" fontId="0" fillId="0" borderId="6" pivotButton="0" quotePrefix="0" xfId="0"/>
    <xf numFmtId="0" fontId="0" fillId="0" borderId="22" pivotButton="0" quotePrefix="0" xfId="0"/>
    <xf numFmtId="181" fontId="37" fillId="18" borderId="2" applyAlignment="1" applyProtection="1" pivotButton="0" quotePrefix="0" xfId="9">
      <alignment horizontal="center" vertical="center" shrinkToFit="1"/>
      <protection locked="0" hidden="0"/>
    </xf>
    <xf numFmtId="181" fontId="44" fillId="18" borderId="20" applyAlignment="1" applyProtection="1" pivotButton="0" quotePrefix="0" xfId="9">
      <alignment horizontal="center" vertical="center" shrinkToFit="1"/>
      <protection locked="0" hidden="0"/>
    </xf>
    <xf numFmtId="0" fontId="39" fillId="0" borderId="15" applyAlignment="1" pivotButton="0" quotePrefix="0" xfId="9">
      <alignment horizontal="center" vertical="center" shrinkToFit="1"/>
    </xf>
    <xf numFmtId="0" fontId="0" fillId="0" borderId="21" applyProtection="1" pivotButton="0" quotePrefix="0" xfId="0">
      <protection locked="0" hidden="0"/>
    </xf>
    <xf numFmtId="0" fontId="0" fillId="0" borderId="17" pivotButton="0" quotePrefix="0" xfId="0"/>
    <xf numFmtId="0" fontId="0" fillId="0" borderId="21" pivotButton="0" quotePrefix="0" xfId="0"/>
    <xf numFmtId="0" fontId="39" fillId="0" borderId="2" applyAlignment="1" pivotButton="0" quotePrefix="0" xfId="9">
      <alignment horizontal="center" vertical="center" textRotation="255" shrinkToFit="1"/>
    </xf>
    <xf numFmtId="0" fontId="0" fillId="0" borderId="149" applyProtection="1" pivotButton="0" quotePrefix="0" xfId="0">
      <protection locked="0" hidden="0"/>
    </xf>
    <xf numFmtId="0" fontId="0" fillId="0" borderId="151" applyProtection="1" pivotButton="0" quotePrefix="0" xfId="0">
      <protection locked="0" hidden="0"/>
    </xf>
    <xf numFmtId="0" fontId="0" fillId="0" borderId="153" applyProtection="1" pivotButton="0" quotePrefix="0" xfId="0">
      <protection locked="0" hidden="0"/>
    </xf>
    <xf numFmtId="0" fontId="0" fillId="0" borderId="154" applyProtection="1" pivotButton="0" quotePrefix="0" xfId="0">
      <protection locked="0" hidden="0"/>
    </xf>
    <xf numFmtId="0" fontId="0" fillId="0" borderId="155" applyProtection="1" pivotButton="0" quotePrefix="0" xfId="0">
      <protection locked="0" hidden="0"/>
    </xf>
    <xf numFmtId="0" fontId="37" fillId="18" borderId="2" applyAlignment="1" applyProtection="1" pivotButton="0" quotePrefix="0" xfId="9">
      <alignment horizontal="left" vertical="center" shrinkToFit="1"/>
      <protection locked="0" hidden="0"/>
    </xf>
    <xf numFmtId="0" fontId="39" fillId="20" borderId="12" applyAlignment="1" applyProtection="1" pivotButton="0" quotePrefix="0" xfId="9">
      <alignment horizontal="center" vertical="center"/>
      <protection locked="0" hidden="0"/>
    </xf>
    <xf numFmtId="0" fontId="34" fillId="0" borderId="3" applyAlignment="1" pivotButton="0" quotePrefix="0" xfId="9">
      <alignment horizontal="center" vertical="center" shrinkToFit="1"/>
    </xf>
    <xf numFmtId="0" fontId="39" fillId="20" borderId="3" applyAlignment="1" applyProtection="1" pivotButton="0" quotePrefix="0" xfId="9">
      <alignment horizontal="center" vertical="center"/>
      <protection locked="0" hidden="0"/>
    </xf>
    <xf numFmtId="0" fontId="34" fillId="0" borderId="18" applyAlignment="1" pivotButton="0" quotePrefix="0" xfId="9">
      <alignment horizontal="center" vertical="center" shrinkToFit="1"/>
    </xf>
    <xf numFmtId="0" fontId="39" fillId="0" borderId="2" applyAlignment="1" pivotButton="0" quotePrefix="0" xfId="9">
      <alignment horizontal="center" vertical="center" shrinkToFit="1" justifyLastLine="1"/>
    </xf>
    <xf numFmtId="0" fontId="34" fillId="0" borderId="2" applyAlignment="1" pivotButton="0" quotePrefix="0" xfId="9">
      <alignment horizontal="center" vertical="center" shrinkToFit="1"/>
    </xf>
    <xf numFmtId="0" fontId="34" fillId="17" borderId="3" applyAlignment="1" applyProtection="1" pivotButton="0" quotePrefix="0" xfId="9">
      <alignment horizontal="center" vertical="center" shrinkToFit="1"/>
      <protection locked="0" hidden="0"/>
    </xf>
    <xf numFmtId="0" fontId="45" fillId="0" borderId="2" applyAlignment="1" pivotButton="0" quotePrefix="0" xfId="9">
      <alignment horizontal="center" vertical="center" shrinkToFit="1"/>
    </xf>
    <xf numFmtId="0" fontId="37" fillId="18" borderId="12" applyAlignment="1" applyProtection="1" pivotButton="0" quotePrefix="0" xfId="9">
      <alignment horizontal="right" vertical="center" shrinkToFit="1"/>
      <protection locked="0" hidden="0"/>
    </xf>
    <xf numFmtId="0" fontId="44" fillId="18" borderId="15" applyAlignment="1" applyProtection="1" pivotButton="0" quotePrefix="0" xfId="9">
      <alignment horizontal="left" vertical="center" shrinkToFit="1"/>
      <protection locked="0" hidden="0"/>
    </xf>
    <xf numFmtId="0" fontId="0" fillId="0" borderId="152" pivotButton="0" quotePrefix="0" xfId="0"/>
    <xf numFmtId="0" fontId="37" fillId="18" borderId="75" applyAlignment="1" applyProtection="1" pivotButton="0" quotePrefix="0" xfId="9">
      <alignment horizontal="left" vertical="center" shrinkToFit="1"/>
      <protection locked="0" hidden="0"/>
    </xf>
    <xf numFmtId="0" fontId="0" fillId="0" borderId="17" applyProtection="1" pivotButton="0" quotePrefix="0" xfId="0">
      <protection locked="0" hidden="0"/>
    </xf>
    <xf numFmtId="9" fontId="37" fillId="18" borderId="12" applyAlignment="1" applyProtection="1" pivotButton="0" quotePrefix="0" xfId="9">
      <alignment horizontal="right" vertical="center" shrinkToFit="1"/>
      <protection locked="0" hidden="0"/>
    </xf>
    <xf numFmtId="0" fontId="44" fillId="18" borderId="2" applyAlignment="1" applyProtection="1" pivotButton="0" quotePrefix="0" xfId="9">
      <alignment horizontal="left" vertical="center"/>
      <protection locked="0" hidden="0"/>
    </xf>
    <xf numFmtId="0" fontId="39" fillId="0" borderId="7" applyAlignment="1" pivotButton="0" quotePrefix="0" xfId="9">
      <alignment horizontal="center" vertical="center" shrinkToFit="1" justifyLastLine="1"/>
    </xf>
    <xf numFmtId="0" fontId="44" fillId="18" borderId="7" applyAlignment="1" applyProtection="1" pivotButton="0" quotePrefix="0" xfId="9">
      <alignment horizontal="left" vertical="center"/>
      <protection locked="0" hidden="0"/>
    </xf>
    <xf numFmtId="0" fontId="37" fillId="18" borderId="15" applyAlignment="1" applyProtection="1" pivotButton="0" quotePrefix="0" xfId="9">
      <alignment horizontal="left" vertical="center" shrinkToFit="1"/>
      <protection locked="0" hidden="0"/>
    </xf>
    <xf numFmtId="0" fontId="45" fillId="17" borderId="12" applyAlignment="1" applyProtection="1" pivotButton="0" quotePrefix="0" xfId="9">
      <alignment horizontal="center" vertical="center"/>
      <protection locked="0" hidden="0"/>
    </xf>
    <xf numFmtId="0" fontId="39" fillId="0" borderId="3" applyAlignment="1" pivotButton="0" quotePrefix="0" xfId="9">
      <alignment horizontal="center" vertical="center"/>
    </xf>
    <xf numFmtId="0" fontId="44" fillId="18" borderId="3" applyAlignment="1" applyProtection="1" pivotButton="0" quotePrefix="0" xfId="9">
      <alignment horizontal="left" vertical="center" shrinkToFit="1"/>
      <protection locked="0" hidden="0"/>
    </xf>
    <xf numFmtId="0" fontId="39" fillId="0" borderId="18" applyAlignment="1" pivotButton="0" quotePrefix="0" xfId="9">
      <alignment horizontal="center" vertical="center"/>
    </xf>
    <xf numFmtId="0" fontId="37" fillId="18" borderId="12" applyAlignment="1" applyProtection="1" pivotButton="0" quotePrefix="0" xfId="9">
      <alignment horizontal="left" vertical="center" shrinkToFit="1"/>
      <protection locked="0" hidden="0"/>
    </xf>
    <xf numFmtId="0" fontId="46" fillId="0" borderId="2" applyAlignment="1" pivotButton="0" quotePrefix="0" xfId="9">
      <alignment horizontal="center" vertical="center" shrinkToFit="1"/>
    </xf>
    <xf numFmtId="49" fontId="39" fillId="17" borderId="3" applyAlignment="1" applyProtection="1" pivotButton="0" quotePrefix="0" xfId="9">
      <alignment horizontal="center" vertical="center"/>
      <protection locked="0" hidden="0"/>
    </xf>
    <xf numFmtId="0" fontId="44" fillId="18" borderId="3" applyAlignment="1" applyProtection="1" pivotButton="0" quotePrefix="0" xfId="9">
      <alignment horizontal="center" vertical="center"/>
      <protection locked="0" hidden="0"/>
    </xf>
    <xf numFmtId="0" fontId="45" fillId="0" borderId="3" applyAlignment="1" pivotButton="0" quotePrefix="0" xfId="9">
      <alignment horizontal="center" vertical="center"/>
    </xf>
    <xf numFmtId="0" fontId="48" fillId="0" borderId="2" applyAlignment="1" pivotButton="0" quotePrefix="0" xfId="9">
      <alignment horizontal="center" vertical="center" shrinkToFit="1"/>
    </xf>
    <xf numFmtId="0" fontId="39" fillId="0" borderId="2" applyAlignment="1" pivotButton="0" quotePrefix="0" xfId="9">
      <alignment horizontal="center" vertical="distributed" textRotation="255" shrinkToFit="1" justifyLastLine="1"/>
    </xf>
    <xf numFmtId="0" fontId="39" fillId="0" borderId="18" applyAlignment="1" pivotButton="0" quotePrefix="0" xfId="9">
      <alignment horizontal="center" vertical="center" shrinkToFit="1" justifyLastLine="1"/>
    </xf>
    <xf numFmtId="0" fontId="45" fillId="0" borderId="12" applyAlignment="1" pivotButton="0" quotePrefix="0" xfId="9">
      <alignment horizontal="center" vertical="center"/>
    </xf>
    <xf numFmtId="189" fontId="37" fillId="18" borderId="3" applyAlignment="1" applyProtection="1" pivotButton="0" quotePrefix="0" xfId="9">
      <alignment horizontal="right" vertical="center" shrinkToFit="1"/>
      <protection locked="0" hidden="0"/>
    </xf>
    <xf numFmtId="0" fontId="45" fillId="0" borderId="18" applyAlignment="1" pivotButton="0" quotePrefix="0" xfId="9">
      <alignment horizontal="center" vertical="center"/>
    </xf>
    <xf numFmtId="189" fontId="37" fillId="18" borderId="17" applyAlignment="1" applyProtection="1" pivotButton="0" quotePrefix="0" xfId="9">
      <alignment horizontal="right" vertical="center" shrinkToFit="1"/>
      <protection locked="0" hidden="0"/>
    </xf>
    <xf numFmtId="189" fontId="37" fillId="18" borderId="12" applyAlignment="1" applyProtection="1" pivotButton="0" quotePrefix="0" xfId="9">
      <alignment horizontal="right" vertical="center" shrinkToFit="1"/>
      <protection locked="0" hidden="0"/>
    </xf>
    <xf numFmtId="0" fontId="34" fillId="20" borderId="12" applyAlignment="1" applyProtection="1" pivotButton="0" quotePrefix="0" xfId="9">
      <alignment horizontal="center" vertical="center"/>
      <protection locked="0" hidden="0"/>
    </xf>
    <xf numFmtId="0" fontId="34" fillId="0" borderId="3" applyAlignment="1" pivotButton="0" quotePrefix="0" xfId="9">
      <alignment horizontal="center" vertical="center"/>
    </xf>
    <xf numFmtId="0" fontId="34" fillId="20" borderId="3" applyAlignment="1" applyProtection="1" pivotButton="0" quotePrefix="0" xfId="9">
      <alignment horizontal="center" vertical="center"/>
      <protection locked="0" hidden="0"/>
    </xf>
    <xf numFmtId="38" fontId="49" fillId="0" borderId="12" applyAlignment="1" pivotButton="0" quotePrefix="0" xfId="9">
      <alignment horizontal="center" vertical="center" shrinkToFit="1"/>
    </xf>
    <xf numFmtId="183" fontId="37" fillId="18" borderId="3" applyAlignment="1" applyProtection="1" pivotButton="0" quotePrefix="0" xfId="9">
      <alignment horizontal="right" vertical="center" shrinkToFit="1"/>
      <protection locked="0" hidden="0"/>
    </xf>
    <xf numFmtId="0" fontId="50" fillId="0" borderId="18" applyAlignment="1" pivotButton="0" quotePrefix="0" xfId="9">
      <alignment horizontal="center" vertical="center"/>
    </xf>
    <xf numFmtId="0" fontId="50" fillId="0" borderId="3" applyAlignment="1" pivotButton="0" quotePrefix="0" xfId="9">
      <alignment horizontal="center" vertical="center" shrinkToFit="1"/>
    </xf>
    <xf numFmtId="0" fontId="39" fillId="0" borderId="15" applyAlignment="1" pivotButton="0" quotePrefix="0" xfId="9">
      <alignment horizontal="center" vertical="distributed" textRotation="255" shrinkToFit="1" justifyLastLine="1"/>
    </xf>
    <xf numFmtId="0" fontId="39" fillId="0" borderId="3" applyAlignment="1" pivotButton="0" quotePrefix="0" xfId="9">
      <alignment horizontal="center" vertical="center" wrapText="1" shrinkToFit="1"/>
    </xf>
    <xf numFmtId="38" fontId="44" fillId="18" borderId="12" applyAlignment="1" applyProtection="1" pivotButton="0" quotePrefix="0" xfId="10">
      <alignment horizontal="right" vertical="center" shrinkToFit="1"/>
      <protection locked="0" hidden="0"/>
    </xf>
    <xf numFmtId="0" fontId="34" fillId="0" borderId="12" applyAlignment="1" pivotButton="0" quotePrefix="0" xfId="9">
      <alignment horizontal="center" vertical="center" shrinkToFit="1"/>
    </xf>
    <xf numFmtId="0" fontId="44" fillId="18" borderId="3" applyAlignment="1" applyProtection="1" pivotButton="0" quotePrefix="0" xfId="9">
      <alignment horizontal="right" vertical="center" shrinkToFit="1"/>
      <protection locked="0" hidden="0"/>
    </xf>
    <xf numFmtId="0" fontId="44" fillId="0" borderId="18" applyAlignment="1" pivotButton="0" quotePrefix="0" xfId="9">
      <alignment horizontal="center" vertical="center" shrinkToFit="1"/>
    </xf>
    <xf numFmtId="0" fontId="39" fillId="0" borderId="12" applyAlignment="1" pivotButton="0" quotePrefix="0" xfId="9">
      <alignment horizontal="center" vertical="center" shrinkToFit="1"/>
    </xf>
    <xf numFmtId="0" fontId="39" fillId="0" borderId="2" applyAlignment="1" pivotButton="0" quotePrefix="0" xfId="9">
      <alignment horizontal="center" vertical="center" wrapText="1" shrinkToFit="1"/>
    </xf>
    <xf numFmtId="0" fontId="39" fillId="0" borderId="156" applyAlignment="1" pivotButton="0" quotePrefix="0" xfId="9">
      <alignment horizontal="center" vertical="center" shrinkToFit="1"/>
    </xf>
    <xf numFmtId="0" fontId="0" fillId="0" borderId="157" pivotButton="0" quotePrefix="0" xfId="0"/>
    <xf numFmtId="0" fontId="0" fillId="0" borderId="159" pivotButton="0" quotePrefix="0" xfId="0"/>
    <xf numFmtId="0" fontId="0" fillId="0" borderId="160" pivotButton="0" quotePrefix="0" xfId="0"/>
    <xf numFmtId="0" fontId="0" fillId="0" borderId="107" pivotButton="0" quotePrefix="0" xfId="0"/>
    <xf numFmtId="0" fontId="39" fillId="0" borderId="12" applyAlignment="1" pivotButton="0" quotePrefix="0" xfId="9">
      <alignment horizontal="center" vertical="center" textRotation="255" shrinkToFit="1"/>
    </xf>
    <xf numFmtId="0" fontId="51" fillId="18" borderId="2" applyAlignment="1" applyProtection="1" pivotButton="0" quotePrefix="0" xfId="9">
      <alignment horizontal="left" vertical="top" wrapText="1"/>
      <protection locked="0" hidden="0"/>
    </xf>
    <xf numFmtId="192" fontId="76" fillId="0" borderId="0" applyAlignment="1" pivotButton="0" quotePrefix="0" xfId="11">
      <alignment horizontal="center" vertical="center"/>
    </xf>
    <xf numFmtId="0" fontId="74" fillId="0" borderId="161" applyAlignment="1" pivotButton="0" quotePrefix="0" xfId="11">
      <alignment horizontal="center" vertical="center"/>
    </xf>
    <xf numFmtId="0" fontId="0" fillId="0" borderId="109" pivotButton="0" quotePrefix="0" xfId="0"/>
    <xf numFmtId="0" fontId="74" fillId="0" borderId="162" applyAlignment="1" pivotButton="0" quotePrefix="0" xfId="11">
      <alignment horizontal="center" vertical="center"/>
    </xf>
    <xf numFmtId="0" fontId="0" fillId="0" borderId="111" pivotButton="0" quotePrefix="0" xfId="0"/>
    <xf numFmtId="0" fontId="0" fillId="0" borderId="112" pivotButton="0" quotePrefix="0" xfId="0"/>
    <xf numFmtId="0" fontId="0" fillId="0" borderId="113" pivotButton="0" quotePrefix="0" xfId="0"/>
    <xf numFmtId="0" fontId="77" fillId="0" borderId="163" applyAlignment="1" pivotButton="0" quotePrefix="0" xfId="11">
      <alignment horizontal="center" vertical="center"/>
    </xf>
    <xf numFmtId="0" fontId="0" fillId="0" borderId="116" pivotButton="0" quotePrefix="0" xfId="0"/>
    <xf numFmtId="0" fontId="74" fillId="0" borderId="164" applyAlignment="1" pivotButton="0" quotePrefix="0" xfId="11">
      <alignment horizontal="center" vertical="center"/>
    </xf>
    <xf numFmtId="0" fontId="74" fillId="0" borderId="15" applyAlignment="1" pivotButton="0" quotePrefix="0" xfId="11">
      <alignment horizontal="center" vertical="center"/>
    </xf>
    <xf numFmtId="190" fontId="77" fillId="0" borderId="12" applyAlignment="1" pivotButton="0" quotePrefix="0" xfId="11">
      <alignment horizontal="center" vertical="center"/>
    </xf>
    <xf numFmtId="0" fontId="0" fillId="0" borderId="117" pivotButton="0" quotePrefix="0" xfId="0"/>
    <xf numFmtId="190" fontId="77" fillId="0" borderId="2" applyAlignment="1" pivotButton="0" quotePrefix="0" xfId="11">
      <alignment horizontal="right" vertical="center" shrinkToFit="1"/>
    </xf>
    <xf numFmtId="191" fontId="77" fillId="0" borderId="2" applyAlignment="1" pivotButton="0" quotePrefix="0" xfId="11">
      <alignment horizontal="right" vertical="center" wrapText="1" shrinkToFit="1"/>
    </xf>
    <xf numFmtId="0" fontId="0" fillId="0" borderId="119" pivotButton="0" quotePrefix="0" xfId="0"/>
    <xf numFmtId="0" fontId="0" fillId="0" borderId="120" pivotButton="0" quotePrefix="0" xfId="0"/>
    <xf numFmtId="0" fontId="74" fillId="0" borderId="165" applyAlignment="1" pivotButton="0" quotePrefix="0" xfId="11">
      <alignment horizontal="center" vertical="center"/>
    </xf>
    <xf numFmtId="0" fontId="76" fillId="0" borderId="166" applyAlignment="1" pivotButton="0" quotePrefix="0" xfId="11">
      <alignment horizontal="left" vertical="center" wrapText="1"/>
    </xf>
    <xf numFmtId="0" fontId="0" fillId="0" borderId="123" pivotButton="0" quotePrefix="0" xfId="0"/>
    <xf numFmtId="0" fontId="0" fillId="0" borderId="124" pivotButton="0" quotePrefix="0" xfId="0"/>
    <xf numFmtId="168" fontId="55" fillId="0" borderId="2" applyAlignment="1" pivotButton="0" quotePrefix="0" xfId="12">
      <alignment horizontal="right" vertical="center"/>
    </xf>
    <xf numFmtId="193" fontId="58" fillId="0" borderId="2" applyAlignment="1" pivotButton="0" quotePrefix="0" xfId="13">
      <alignment horizontal="center" vertical="center"/>
    </xf>
    <xf numFmtId="193" fontId="58" fillId="0" borderId="2" applyAlignment="1" pivotButton="0" quotePrefix="0" xfId="2">
      <alignment horizontal="center" vertical="center"/>
    </xf>
    <xf numFmtId="180" fontId="60" fillId="0" borderId="6" applyAlignment="1" pivotButton="0" quotePrefix="0" xfId="14">
      <alignment horizontal="left" indent="1"/>
    </xf>
    <xf numFmtId="0" fontId="69" fillId="0" borderId="6" applyAlignment="1" pivotButton="0" quotePrefix="0" xfId="16">
      <alignment horizontal="left" vertical="top" wrapText="1"/>
    </xf>
    <xf numFmtId="0" fontId="69" fillId="0" borderId="3" applyAlignment="1" pivotButton="0" quotePrefix="0" xfId="16">
      <alignment horizontal="left" vertical="top" wrapText="1"/>
    </xf>
    <xf numFmtId="0" fontId="69" fillId="0" borderId="3" applyAlignment="1" pivotButton="0" quotePrefix="0" xfId="16">
      <alignment horizontal="center" vertical="center"/>
    </xf>
    <xf numFmtId="194" fontId="69" fillId="0" borderId="3" applyAlignment="1" pivotButton="0" quotePrefix="0" xfId="15">
      <alignment horizontal="center" vertical="center"/>
    </xf>
    <xf numFmtId="195" fontId="69" fillId="0" borderId="0" applyAlignment="1" pivotButton="0" quotePrefix="0" xfId="15">
      <alignment horizontal="center" vertical="center"/>
    </xf>
    <xf numFmtId="0" fontId="0" fillId="0" borderId="78" pivotButton="0" quotePrefix="0" xfId="0"/>
    <xf numFmtId="0" fontId="0" fillId="0" borderId="51" pivotButton="0" quotePrefix="0" xfId="0"/>
    <xf numFmtId="0" fontId="0" fillId="0" borderId="125" pivotButton="0" quotePrefix="0" xfId="0"/>
    <xf numFmtId="181" fontId="65" fillId="0" borderId="0" applyAlignment="1" pivotButton="0" quotePrefix="0" xfId="15">
      <alignment horizontal="center" vertical="center" wrapText="1"/>
    </xf>
    <xf numFmtId="0" fontId="14" fillId="0" borderId="3" applyAlignment="1" pivotButton="0" quotePrefix="0" xfId="17">
      <alignment horizontal="left" vertical="top" wrapText="1"/>
    </xf>
    <xf numFmtId="0" fontId="13" fillId="0" borderId="3" applyAlignment="1" pivotButton="0" quotePrefix="0" xfId="17">
      <alignment horizontal="left" vertical="center"/>
    </xf>
    <xf numFmtId="194" fontId="13" fillId="0" borderId="3" applyAlignment="1" pivotButton="0" quotePrefix="0" xfId="15">
      <alignment horizontal="center" vertical="center"/>
    </xf>
    <xf numFmtId="195" fontId="13" fillId="0" borderId="0" applyAlignment="1" pivotButton="0" quotePrefix="0" xfId="15">
      <alignment horizontal="center" vertical="center"/>
    </xf>
    <xf numFmtId="181" fontId="65" fillId="0" borderId="0" applyAlignment="1" pivotButton="0" quotePrefix="0" xfId="15">
      <alignment vertical="center"/>
    </xf>
    <xf numFmtId="181" fontId="65" fillId="0" borderId="0" applyAlignment="1" pivotButton="0" quotePrefix="0" xfId="15">
      <alignment vertical="center" wrapText="1"/>
    </xf>
  </cellXfs>
  <cellStyles count="19">
    <cellStyle name="標準" xfId="0" builtinId="0"/>
    <cellStyle name="パーセント" xfId="1" builtinId="5"/>
    <cellStyle name="桁区切り" xfId="2" builtinId="6"/>
    <cellStyle name="通貨" xfId="3" builtinId="7"/>
    <cellStyle name="未定義" xfId="4"/>
    <cellStyle name="標準 2" xfId="5"/>
    <cellStyle name="桁区切り 2" xfId="6"/>
    <cellStyle name="パーセント 2" xfId="7"/>
    <cellStyle name="ハイパーリンク" xfId="8" builtinId="8"/>
    <cellStyle name="標準 6" xfId="9"/>
    <cellStyle name="桁区切り 4" xfId="10"/>
    <cellStyle name="標準 3" xfId="11"/>
    <cellStyle name="標準 4" xfId="12"/>
    <cellStyle name="桁区切り 3" xfId="13"/>
    <cellStyle name="標準 5" xfId="14"/>
    <cellStyle name="標準 5 2" xfId="15"/>
    <cellStyle name="標準_Sheet1" xfId="16"/>
    <cellStyle name="標準_Sheet1 2" xfId="17"/>
    <cellStyle name="標準 7" xfId="18"/>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作成者</author>
  </authors>
  <commentList>
    <comment ref="I13" authorId="0" shapeId="0">
      <text>
        <t>耐用年数オーバーは0</t>
      </text>
    </comment>
    <comment ref="C21" authorId="0" shapeId="0">
      <text>
        <t>作成者:
住居系0.4
その他0.6</t>
      </text>
    </comment>
    <comment ref="C26" authorId="0" shapeId="0">
      <text>
        <t xml:space="preserve">作成者:
相続税路線価の設定がなければ、固定資産税路線価÷0.7×0.8÷1000で算出
</t>
      </text>
    </comment>
    <comment ref="I30" authorId="0" shapeId="0">
      <text>
        <t>作成者:
0円未満は0円</t>
      </text>
    </comment>
    <comment ref="C35" authorId="0" shapeId="0">
      <text>
        <t>作成者:
上記ハイパーリンクの国交省HPにて確認
不動産価格(取引価格・成約価格)情報の検索・ダウンロード
→地域：適宜入力
→価格情報区分：不動産取引価格情報
→種類：土地
→時期：およそ5-10年
→面積を対象の物件に近い条件で検索(ex.100㎡であれば80-120㎡)
→件数が多すぎたり、少なすぎたりすれば時期を調整
→サンプルが20件くらいになるように調整し、坪単価を算出</t>
      </text>
    </comment>
  </commentList>
</comments>
</file>

<file path=xl/comments/comment2.xml><?xml version="1.0" encoding="utf-8"?>
<comments xmlns="http://schemas.openxmlformats.org/spreadsheetml/2006/main">
  <authors>
    <author>作成者</author>
  </authors>
  <commentList>
    <comment ref="K9" authorId="0" shapeId="0">
      <text>
        <t xml:space="preserve">作成者:
田舎の戸建て5万円
都心の戸建10万円
目安で設定
デフォルトは固定資産税の2%に設定
</t>
      </text>
    </comment>
    <comment ref="K11" authorId="0" shapeId="0">
      <text>
        <t>作成者:
田舎1.1
中間1.5
都心2.0</t>
      </text>
    </comment>
    <comment ref="K15" authorId="0" shapeId="0">
      <text>
        <t>作成者:
土地実勢価格の8割</t>
      </text>
    </comment>
    <comment ref="E22" authorId="0" shapeId="0">
      <text>
        <t>作成者:
土地の割合を入力。建物割合は自動で計算。</t>
      </text>
    </comment>
    <comment ref="C28" authorId="0" shapeId="0">
      <text>
        <t>作成者:
通常購入金額の5-10%</t>
      </text>
    </comment>
    <comment ref="E29" authorId="0" shapeId="0">
      <text>
        <t xml:space="preserve">作成者:
土地の割合を入力。建物割合は自動で計算。 </t>
      </text>
    </comment>
    <comment ref="H33" authorId="0" shapeId="0">
      <text>
        <t>作成者:
低廉な空き家、「売主」の場合は33万円。
買主の場合は仲介と調整だがデフォルトを33万円想定。
基本は5%(200万円以下)、
4%+2万円(200-400万円)、
3%+6万円(400万円以上)</t>
      </text>
    </comment>
    <comment ref="H45" authorId="0" shapeId="0">
      <text>
        <t>作成者:
間取りによって自動反映。必要に応じて修正or削除してください。</t>
      </text>
    </comment>
    <comment ref="C51" authorId="0" shapeId="0">
      <text>
        <t>作成者:
10,000円分下駄履かせています。</t>
      </text>
    </comment>
    <comment ref="E51" authorId="0" shapeId="0">
      <text>
        <t>作成者:
5,000円分下駄履かせています。</t>
      </text>
    </comment>
    <comment ref="H66" authorId="0" shapeId="0">
      <text>
        <t>作成者:売却完了後に実際の融資手数料を入力</t>
      </text>
    </comment>
    <comment ref="H67" authorId="0" shapeId="0">
      <text>
        <t xml:space="preserve">作成者:
売却完了後に実際の融資手数料を入力 </t>
      </text>
    </comment>
  </commentList>
</comments>
</file>

<file path=xl/comments/comment3.xml><?xml version="1.0" encoding="utf-8"?>
<comments xmlns="http://schemas.openxmlformats.org/spreadsheetml/2006/main">
  <authors>
    <author>作成者</author>
  </authors>
  <commentList>
    <comment ref="H11" authorId="0" shapeId="0">
      <text>
        <t>売買する土地、土地建物、借地権付建物の物件区分を選択して下さい</t>
      </text>
    </comment>
    <comment ref="AT11" authorId="0" shapeId="0">
      <text>
        <t>契約区分を選択して下さい。</t>
      </text>
    </comment>
    <comment ref="AT13" authorId="0" shapeId="0">
      <text>
        <t>取引態様を選択して下さい。</t>
      </text>
    </comment>
    <comment ref="D19" authorId="0" shapeId="0">
      <text>
        <t>代理人の場合には代理人の氏名・住所を明記すること</t>
      </text>
    </comment>
    <comment ref="D27" authorId="0" shapeId="0">
      <text>
        <t>代理人の場合には代理人の氏名・住所を明記すること</t>
      </text>
    </comment>
    <comment ref="H44" authorId="0" shapeId="0">
      <text>
        <t xml:space="preserve">土地の奥行や間口など土地の形状の概略を記載して下さい。
</t>
      </text>
    </comment>
    <comment ref="H46" authorId="0" shapeId="0">
      <text>
        <t>土地までの経路（利用する交通機関等）など土地の位置の概略を記載して下さい。</t>
      </text>
    </comment>
    <comment ref="H48" authorId="0" shapeId="0">
      <text>
        <t>インフラの状況等を
記載して下さい。</t>
      </text>
    </comment>
    <comment ref="AN52" authorId="0" shapeId="0">
      <text>
        <t>附属建物の内容が明記しきれない場合には、下記備考欄に記載します</t>
      </text>
    </comment>
    <comment ref="AM65" authorId="0" shapeId="0">
      <text>
        <t>土地・建物価格を算出しない場合には、「－（横棒）」としておきます</t>
      </text>
    </comment>
    <comment ref="AM67" authorId="0" shapeId="0">
      <text>
        <t>土地・建物価格を算出しない場合には、「－（横棒）」としておきます</t>
      </text>
    </comment>
    <comment ref="AM69" authorId="0" shapeId="0">
      <text>
        <t>土地・建物価格を算出しない場合には、「－（横棒）」としておきます</t>
      </text>
    </comment>
    <comment ref="H71" authorId="0" shapeId="0">
      <text>
        <t>該当がない場合（一括決済の場合）には「－（横棒）」としておきます</t>
      </text>
    </comment>
    <comment ref="X71" authorId="0" shapeId="0">
      <text>
        <t>該当がない場合には「－（横棒）」としておきます</t>
      </text>
    </comment>
    <comment ref="AM71" authorId="0" shapeId="0">
      <text>
        <t>該当がない場合には「－（横棒）」としておきます</t>
      </text>
    </comment>
    <comment ref="D73" authorId="0" shapeId="0">
      <text>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text>
    </comment>
    <comment ref="AN73" authorId="0" shapeId="0">
      <text>
        <t>①差金額に消費税が含まれている場合には、消費税等相当額を明記します。
②差金額に消費税が含まれていない場合には－（横棒）として非該当であることを明記します。</t>
      </text>
    </comment>
    <comment ref="X78" authorId="0" shapeId="0">
      <text>
        <t>売主名（仲介手数料を支払った者の名前）を記載します</t>
      </text>
    </comment>
    <comment ref="W80" authorId="0" shapeId="0">
      <text>
        <t>非課税業者の場合には税率明記せず空欄のままとして下さい</t>
      </text>
    </comment>
    <comment ref="X82" authorId="0" shapeId="0">
      <text>
        <t>買主名（仲介手数料を支払った者の名前）を記載します</t>
      </text>
    </comment>
    <comment ref="W84" authorId="0" shapeId="0">
      <text>
        <t>非課税業者の場合には税率明記せず空欄のままとして下さい</t>
      </text>
    </comment>
    <comment ref="W90" authorId="0" shapeId="0">
      <text>
        <t>非課税業者の場合には税率明記せず空欄のままとして下さい</t>
      </text>
    </comment>
    <comment ref="W94" authorId="0" shapeId="0">
      <text>
        <t>非課税業者の場合には税率明記せず空欄のままとして下さい</t>
      </text>
    </comment>
    <comment ref="H98" authorId="0" shapeId="0">
      <text>
        <t>業者が個人事業主である場合には、名称（屋号）と氏名を明記して下さい</t>
      </text>
    </comment>
    <comment ref="H100" authorId="0" shapeId="0">
      <text>
        <t>業者が個人事業主である場合には、名称（屋号）と氏名を明記して下さい</t>
      </text>
    </comment>
  </commentList>
</comments>
</file>

<file path=xl/comments/comment4.xml><?xml version="1.0" encoding="utf-8"?>
<comments xmlns="http://schemas.openxmlformats.org/spreadsheetml/2006/main">
  <authors>
    <author>作成者</author>
  </authors>
  <commentList>
    <comment ref="H11" authorId="0" shapeId="0">
      <text>
        <t>売買する土地、土地建物、借地権付建物の物件区分を選択して下さい</t>
      </text>
    </comment>
    <comment ref="AT11" authorId="0" shapeId="0">
      <text>
        <t>契約区分を選択して下さい。</t>
      </text>
    </comment>
    <comment ref="AT13" authorId="0" shapeId="0">
      <text>
        <t>取引態様を選択して下さい。</t>
      </text>
    </comment>
    <comment ref="D19" authorId="0" shapeId="0">
      <text>
        <t>代理人の場合には代理人の氏名・住所を明記すること</t>
      </text>
    </comment>
    <comment ref="D27" authorId="0" shapeId="0">
      <text>
        <t>代理人の場合には代理人の氏名・住所を明記すること</t>
      </text>
    </comment>
    <comment ref="H44" authorId="0" shapeId="0">
      <text>
        <t xml:space="preserve">土地の奥行や間口など土地の形状の概略を記載して下さい。
</t>
      </text>
    </comment>
    <comment ref="H46" authorId="0" shapeId="0">
      <text>
        <t>土地までの経路（利用する交通機関等）など土地の位置の概略を記載して下さい。</t>
      </text>
    </comment>
    <comment ref="H48" authorId="0" shapeId="0">
      <text>
        <t>インフラの状況等を
記載して下さい。</t>
      </text>
    </comment>
    <comment ref="AN52" authorId="0" shapeId="0">
      <text>
        <t>附属建物の内容が明記しきれない場合には、下記備考欄に記載します</t>
      </text>
    </comment>
    <comment ref="AM65" authorId="0" shapeId="0">
      <text>
        <t>土地・建物価格を算出しない場合には、「－（横棒）」としておきます</t>
      </text>
    </comment>
    <comment ref="AM67" authorId="0" shapeId="0">
      <text>
        <t>土地・建物価格を算出しない場合には、「－（横棒）」としておきます</t>
      </text>
    </comment>
    <comment ref="AM69" authorId="0" shapeId="0">
      <text>
        <t>土地・建物価格を算出しない場合には、「－（横棒）」としておきます</t>
      </text>
    </comment>
    <comment ref="H71" authorId="0" shapeId="0">
      <text>
        <t>該当がない場合（一括決済の場合）には「－（横棒）」としておきます</t>
      </text>
    </comment>
    <comment ref="X71" authorId="0" shapeId="0">
      <text>
        <t>該当がない場合には「－（横棒）」としておきます</t>
      </text>
    </comment>
    <comment ref="AM71" authorId="0" shapeId="0">
      <text>
        <t>該当がない場合には「－（横棒）」としておきます</t>
      </text>
    </comment>
    <comment ref="D73" authorId="0" shapeId="0">
      <text>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text>
    </comment>
    <comment ref="AN73" authorId="0" shapeId="0">
      <text>
        <t>①差金額に消費税が含まれている場合には、消費税等相当額を明記します。
②差金額に消費税が含まれていない場合には－（横棒）として非該当であることを明記します。</t>
      </text>
    </comment>
    <comment ref="X78" authorId="0" shapeId="0">
      <text>
        <t>売主名（仲介手数料を支払った者の名前）を記載します</t>
      </text>
    </comment>
    <comment ref="W80" authorId="0" shapeId="0">
      <text>
        <t>非課税業者の場合には税率明記せず空欄のままとして下さい</t>
      </text>
    </comment>
    <comment ref="X82" authorId="0" shapeId="0">
      <text>
        <t>買主名（仲介手数料を支払った者の名前）を記載します</t>
      </text>
    </comment>
    <comment ref="W84" authorId="0" shapeId="0">
      <text>
        <t>非課税業者の場合には税率明記せず空欄のままとして下さい</t>
      </text>
    </comment>
    <comment ref="W90" authorId="0" shapeId="0">
      <text>
        <t>非課税業者の場合には税率明記せず空欄のままとして下さい</t>
      </text>
    </comment>
    <comment ref="W94" authorId="0" shapeId="0">
      <text>
        <t>非課税業者の場合には税率明記せず空欄のままとして下さい</t>
      </text>
    </comment>
    <comment ref="H98" authorId="0" shapeId="0">
      <text>
        <t>業者が個人事業主である場合には、名称（屋号）と氏名を明記して下さい</t>
      </text>
    </comment>
    <comment ref="H100" authorId="0" shapeId="0">
      <text>
        <t>業者が個人事業主である場合には、名称（屋号）と氏名を明記して下さい</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drawing1.xml><?xml version="1.0" encoding="utf-8"?>
<wsDr xmlns="http://schemas.openxmlformats.org/drawingml/2006/spreadsheetDrawing">
  <twoCellAnchor editAs="oneCell">
    <from>
      <col>9</col>
      <colOff>654050</colOff>
      <row>20</row>
      <rowOff>15875</rowOff>
    </from>
    <to>
      <col>10</col>
      <colOff>666750</colOff>
      <row>24</row>
      <rowOff>104775</rowOff>
    </to>
    <pic>
      <nvPicPr>
        <cNvPr id="5" name="図 4"/>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042150" y="6137275"/>
          <a:ext cx="749300" cy="74930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7</col>
      <colOff>38100</colOff>
      <row>5</row>
      <rowOff>47625</rowOff>
    </from>
    <to>
      <col>7</col>
      <colOff>476311</colOff>
      <row>6</row>
      <rowOff>228660</rowOff>
    </to>
    <pic>
      <nvPicPr>
        <cNvPr id="2" name="図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194300" y="1317625"/>
          <a:ext cx="438211" cy="43503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1</col>
      <colOff>1905000</colOff>
      <row>27</row>
      <rowOff>0</rowOff>
    </from>
    <to>
      <col>1</col>
      <colOff>2329712</colOff>
      <row>29</row>
      <rowOff>19493</rowOff>
    </to>
    <pic>
      <nvPicPr>
        <cNvPr id="3" name="図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3175000" y="7226300"/>
          <a:ext cx="424712" cy="41319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editAs="oneCell">
    <from>
      <col>26</col>
      <colOff>152400</colOff>
      <row>4</row>
      <rowOff>47625</rowOff>
    </from>
    <to>
      <col>32</col>
      <colOff>114299</colOff>
      <row>9</row>
      <rowOff>142874</rowOff>
    </to>
    <pic>
      <nvPicPr>
        <cNvPr id="2" name="図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5435600" y="1304925"/>
          <a:ext cx="1181099" cy="1238249"/>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31</col>
      <colOff>0</colOff>
      <row>7</row>
      <rowOff>38100</rowOff>
    </from>
    <to>
      <col>33</col>
      <colOff>0</colOff>
      <row>8</row>
      <rowOff>215900</rowOff>
    </to>
    <pic>
      <nvPicPr>
        <cNvPr id="3" name="図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6426200" y="1981200"/>
          <a:ext cx="406400" cy="4064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einfolib.mlit.go.jp/map/?initialState=areaOpen&amp;areaOption=address&amp;kCode=13&amp;sCode=0" TargetMode="External" Id="rId1"/><Relationship Type="http://schemas.openxmlformats.org/officeDocument/2006/relationships/hyperlink" Target="https://www.mf-realty.jp/tebiki/taxbusiness/popup08_02.html" TargetMode="External" Id="rId2"/><Relationship Type="http://schemas.openxmlformats.org/officeDocument/2006/relationships/hyperlink" Target="https://www.reinfolib.mlit.go.jp/" TargetMode="External" Id="rId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www.mf-realty.jp/tebiki/taxbusiness/popup08_02.html" TargetMode="Externa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_rels/sheet9.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drawing" Target="/xl/drawings/drawing4.xml" Id="rId1"/></Relationships>
</file>

<file path=xl/worksheets/_rels/sheet11.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tabColor theme="0" tint="-0.1499984740745262"/>
    <outlinePr summaryBelow="1" summaryRight="1"/>
    <pageSetUpPr/>
  </sheetPr>
  <dimension ref="A1:V102"/>
  <sheetViews>
    <sheetView showGridLines="0" zoomScale="94" workbookViewId="0">
      <selection activeCell="C26" sqref="C26"/>
    </sheetView>
  </sheetViews>
  <sheetFormatPr baseColWidth="10" defaultColWidth="9" defaultRowHeight="14"/>
  <cols>
    <col width="3.1640625" customWidth="1" style="1" min="1" max="1"/>
    <col width="16.33203125" customWidth="1" style="1" min="2" max="2"/>
    <col width="16.6640625" customWidth="1" style="3" min="3" max="3"/>
    <col width="9" customWidth="1" style="1" min="4" max="4"/>
    <col width="13.1640625" customWidth="1" style="1" min="5" max="5"/>
    <col width="11.1640625" bestFit="1" customWidth="1" style="1" min="6" max="6"/>
    <col width="10.33203125" customWidth="1" style="1" min="7" max="7"/>
    <col width="8.6640625" customWidth="1" style="1" min="8" max="8"/>
    <col width="11.6640625" bestFit="1" customWidth="1" style="1" min="9" max="9"/>
    <col width="9" customWidth="1" style="1" min="10" max="11"/>
    <col width="10.1640625" bestFit="1" customWidth="1" style="1" min="12" max="12"/>
    <col width="25.6640625" bestFit="1" customWidth="1" style="1" min="13" max="13"/>
    <col width="28.1640625" bestFit="1" customWidth="1" style="1" min="14" max="14"/>
    <col width="7.1640625" bestFit="1" customWidth="1" style="1" min="15" max="15"/>
    <col width="11.1640625" bestFit="1" customWidth="1" style="1" min="16" max="16"/>
    <col width="9.1640625" bestFit="1" customWidth="1" style="1" min="17" max="17"/>
    <col width="6.6640625" bestFit="1" customWidth="1" style="1" min="18" max="18"/>
    <col width="13.6640625" bestFit="1" customWidth="1" style="1" min="19" max="19"/>
    <col width="10.1640625" customWidth="1" style="1" min="20" max="20"/>
    <col width="11.6640625" bestFit="1" customWidth="1" style="1" min="21" max="21"/>
    <col width="13.6640625" bestFit="1" customWidth="1" style="1" min="22" max="22"/>
    <col width="9" customWidth="1" style="1" min="23" max="16384"/>
  </cols>
  <sheetData>
    <row r="1">
      <c r="A1" s="1" t="inlineStr">
        <is>
          <t>シート作成日</t>
        </is>
      </c>
      <c r="C1" s="199" t="inlineStr">
        <is>
          <t>2026/6/10</t>
        </is>
      </c>
      <c r="M1" s="2" t="inlineStr">
        <is>
          <t>用途地域</t>
        </is>
      </c>
      <c r="N1" s="2" t="inlineStr">
        <is>
          <t>建築年</t>
        </is>
      </c>
      <c r="O1" s="2" t="inlineStr">
        <is>
          <t>築年数</t>
        </is>
      </c>
      <c r="P1" s="2" t="inlineStr">
        <is>
          <t>構造</t>
        </is>
      </c>
      <c r="Q1" s="2" t="inlineStr">
        <is>
          <t>耐用年数</t>
        </is>
      </c>
      <c r="R1" s="2" t="inlineStr">
        <is>
          <t>間取り</t>
        </is>
      </c>
      <c r="S1" s="2" t="inlineStr">
        <is>
          <t>リフォーム費用</t>
        </is>
      </c>
      <c r="T1" s="2" t="inlineStr">
        <is>
          <t>借地権割合</t>
        </is>
      </c>
      <c r="U1" s="2" t="n"/>
      <c r="V1" s="2" t="inlineStr">
        <is>
          <t>リフォーム単価</t>
        </is>
      </c>
    </row>
    <row r="2" ht="15" customHeight="1">
      <c r="A2" s="1" t="inlineStr">
        <is>
          <t>土地情報</t>
        </is>
      </c>
      <c r="M2" s="1" t="inlineStr">
        <is>
          <t>第一種低層住居専用地域</t>
        </is>
      </c>
      <c r="N2" s="1" t="inlineStr">
        <is>
          <t>1926年(大正15年・昭和元年)</t>
        </is>
      </c>
      <c r="O2" s="1" t="n">
        <v>100</v>
      </c>
      <c r="P2" s="1" t="inlineStr">
        <is>
          <t>木造</t>
        </is>
      </c>
      <c r="Q2" s="1" t="n">
        <v>22</v>
      </c>
      <c r="R2" s="1" t="inlineStr">
        <is>
          <t>1R</t>
        </is>
      </c>
      <c r="S2" s="4" t="n">
        <v>2000000</v>
      </c>
      <c r="T2" s="1" t="inlineStr">
        <is>
          <t>A</t>
        </is>
      </c>
      <c r="U2" s="1" t="inlineStr">
        <is>
          <t>水回り</t>
        </is>
      </c>
      <c r="V2" s="26" t="n">
        <v>2000000</v>
      </c>
    </row>
    <row r="3" ht="15" customHeight="1">
      <c r="B3" s="1" t="inlineStr">
        <is>
          <t>住所</t>
        </is>
      </c>
      <c r="C3" s="557" t="inlineStr">
        <is>
          <t>藤沢市辻堂東海岸3-3-20</t>
        </is>
      </c>
      <c r="D3" s="936" t="n"/>
      <c r="E3" s="936" t="n"/>
      <c r="F3" s="937" t="n"/>
      <c r="M3" s="1" t="inlineStr">
        <is>
          <t>第二種低層住居専用地域</t>
        </is>
      </c>
      <c r="N3" s="1" t="inlineStr">
        <is>
          <t>1927年(昭和2年)</t>
        </is>
      </c>
      <c r="O3" s="1" t="n">
        <v>99</v>
      </c>
      <c r="P3" s="1" t="inlineStr">
        <is>
          <t>軽量鉄骨造</t>
        </is>
      </c>
      <c r="Q3" s="1" t="n">
        <v>27</v>
      </c>
      <c r="R3" s="1" t="inlineStr">
        <is>
          <t>1K</t>
        </is>
      </c>
      <c r="S3" s="4">
        <f>V2+V3</f>
        <v/>
      </c>
      <c r="T3" s="1" t="inlineStr">
        <is>
          <t>B</t>
        </is>
      </c>
      <c r="U3" s="1" t="inlineStr">
        <is>
          <t>1部屋につき</t>
        </is>
      </c>
      <c r="V3" s="26" t="n">
        <v>400000</v>
      </c>
    </row>
    <row r="4" ht="15" customHeight="1">
      <c r="B4" s="1" t="inlineStr">
        <is>
          <t>地番</t>
        </is>
      </c>
      <c r="C4" s="557" t="inlineStr">
        <is>
          <t>藤沢市辻堂東海岸3丁目7239-245</t>
        </is>
      </c>
      <c r="D4" s="936" t="n"/>
      <c r="E4" s="936" t="n"/>
      <c r="F4" s="937" t="n"/>
      <c r="M4" s="1" t="inlineStr">
        <is>
          <t>第一種中高層住居専用地域</t>
        </is>
      </c>
      <c r="N4" s="1" t="inlineStr">
        <is>
          <t>1928年(昭和3年)</t>
        </is>
      </c>
      <c r="O4" s="1" t="n">
        <v>98</v>
      </c>
      <c r="P4" s="1" t="inlineStr">
        <is>
          <t>重量鉄骨造</t>
        </is>
      </c>
      <c r="Q4" s="1" t="n">
        <v>34</v>
      </c>
      <c r="R4" s="1" t="inlineStr">
        <is>
          <t>1DK</t>
        </is>
      </c>
      <c r="S4" s="4">
        <f>S3+V3</f>
        <v/>
      </c>
      <c r="T4" s="1" t="inlineStr">
        <is>
          <t>C</t>
        </is>
      </c>
    </row>
    <row r="5" ht="15" customHeight="1">
      <c r="B5" s="1" t="inlineStr">
        <is>
          <t>敷地面積</t>
        </is>
      </c>
      <c r="C5" s="200" t="n">
        <v>139.8</v>
      </c>
      <c r="D5" s="1" t="inlineStr">
        <is>
          <t>㎡</t>
        </is>
      </c>
      <c r="E5" s="5">
        <f>C5/3.305</f>
        <v/>
      </c>
      <c r="F5" s="1" t="inlineStr">
        <is>
          <t>坪</t>
        </is>
      </c>
      <c r="M5" s="1" t="inlineStr">
        <is>
          <t>第二種中高層住居専用地域</t>
        </is>
      </c>
      <c r="N5" s="1" t="inlineStr">
        <is>
          <t>1929年(昭和4年)</t>
        </is>
      </c>
      <c r="O5" s="1" t="n">
        <v>97</v>
      </c>
      <c r="P5" s="1" t="inlineStr">
        <is>
          <t>RC造</t>
        </is>
      </c>
      <c r="Q5" s="1" t="n">
        <v>47</v>
      </c>
      <c r="R5" s="1" t="inlineStr">
        <is>
          <t>2K</t>
        </is>
      </c>
      <c r="S5" s="4">
        <f>S4</f>
        <v/>
      </c>
      <c r="T5" s="1" t="inlineStr">
        <is>
          <t>D</t>
        </is>
      </c>
    </row>
    <row r="6" ht="15" customHeight="1">
      <c r="B6" s="1" t="inlineStr">
        <is>
          <t>用途地域</t>
        </is>
      </c>
      <c r="C6" s="478" t="inlineStr">
        <is>
          <t>第一種住居地域</t>
        </is>
      </c>
      <c r="M6" s="1" t="inlineStr">
        <is>
          <t>第一種住居地域</t>
        </is>
      </c>
      <c r="N6" s="1" t="inlineStr">
        <is>
          <t>1930年(昭和5年)</t>
        </is>
      </c>
      <c r="O6" s="1" t="n">
        <v>96</v>
      </c>
      <c r="P6" s="1" t="inlineStr">
        <is>
          <t>SRC造</t>
        </is>
      </c>
      <c r="Q6" s="1" t="n">
        <v>47</v>
      </c>
      <c r="R6" s="1" t="inlineStr">
        <is>
          <t>1LDK</t>
        </is>
      </c>
      <c r="S6" s="4">
        <f>S5+$V$3</f>
        <v/>
      </c>
      <c r="T6" s="1" t="inlineStr">
        <is>
          <t>E</t>
        </is>
      </c>
    </row>
    <row r="7" ht="15" customHeight="1">
      <c r="B7" s="1" t="inlineStr">
        <is>
          <t>建蔽率</t>
        </is>
      </c>
      <c r="C7" s="201" t="n">
        <v>0.6</v>
      </c>
      <c r="D7" s="242" t="inlineStr">
        <is>
          <t>建蔽率・容積率のHP</t>
        </is>
      </c>
      <c r="M7" s="1" t="inlineStr">
        <is>
          <t>第二種住居地域</t>
        </is>
      </c>
      <c r="N7" s="1" t="inlineStr">
        <is>
          <t>1931年(昭和6年)</t>
        </is>
      </c>
      <c r="O7" s="1" t="n">
        <v>95</v>
      </c>
      <c r="R7" s="1" t="inlineStr">
        <is>
          <t>2DK</t>
        </is>
      </c>
      <c r="S7" s="4">
        <f>S6</f>
        <v/>
      </c>
      <c r="T7" s="1" t="inlineStr">
        <is>
          <t>F</t>
        </is>
      </c>
    </row>
    <row r="8" ht="15" customHeight="1">
      <c r="B8" s="1" t="inlineStr">
        <is>
          <t>容積率</t>
        </is>
      </c>
      <c r="C8" s="201" t="n">
        <v>2</v>
      </c>
      <c r="M8" s="1" t="inlineStr">
        <is>
          <t>準住居地域</t>
        </is>
      </c>
      <c r="N8" s="1" t="inlineStr">
        <is>
          <t>1932年(昭和7年)</t>
        </is>
      </c>
      <c r="O8" s="1" t="n">
        <v>94</v>
      </c>
      <c r="R8" s="1" t="inlineStr">
        <is>
          <t>3K</t>
        </is>
      </c>
      <c r="S8" s="4">
        <f>S6</f>
        <v/>
      </c>
      <c r="T8" s="1" t="inlineStr">
        <is>
          <t>G</t>
        </is>
      </c>
    </row>
    <row r="9" ht="15" customHeight="1">
      <c r="B9" s="1" t="inlineStr">
        <is>
          <t>交通</t>
        </is>
      </c>
      <c r="C9" s="202" t="inlineStr">
        <is>
          <t>東海道</t>
        </is>
      </c>
      <c r="D9" s="1" t="inlineStr">
        <is>
          <t>線</t>
        </is>
      </c>
      <c r="E9" s="6">
        <f>C9&amp;D9&amp;"「"&amp;C10&amp;"」"&amp;D10&amp;B11&amp;C11&amp;D11</f>
        <v/>
      </c>
      <c r="F9" s="7" t="n"/>
      <c r="G9" s="7" t="n"/>
      <c r="H9" s="7" t="n"/>
      <c r="I9" s="8" t="n"/>
      <c r="M9" s="1" t="inlineStr">
        <is>
          <t>田園住居地域</t>
        </is>
      </c>
      <c r="N9" s="1" t="inlineStr">
        <is>
          <t>1933年(昭和8年)</t>
        </is>
      </c>
      <c r="O9" s="1" t="n">
        <v>93</v>
      </c>
      <c r="R9" s="1" t="inlineStr">
        <is>
          <t>2LDK</t>
        </is>
      </c>
      <c r="S9" s="4">
        <f>S8+$V$3</f>
        <v/>
      </c>
    </row>
    <row r="10" ht="15" customHeight="1">
      <c r="B10" s="1" t="inlineStr">
        <is>
          <t>駅</t>
        </is>
      </c>
      <c r="C10" s="202" t="inlineStr">
        <is>
          <t>辻堂</t>
        </is>
      </c>
      <c r="D10" s="1" t="inlineStr">
        <is>
          <t>駅</t>
        </is>
      </c>
      <c r="M10" s="1" t="inlineStr">
        <is>
          <t>近隣商業地域</t>
        </is>
      </c>
      <c r="N10" s="1" t="inlineStr">
        <is>
          <t>1934年(昭和9年)</t>
        </is>
      </c>
      <c r="O10" s="1" t="n">
        <v>92</v>
      </c>
      <c r="R10" s="1" t="inlineStr">
        <is>
          <t>3DK</t>
        </is>
      </c>
      <c r="S10" s="4">
        <f>S9</f>
        <v/>
      </c>
    </row>
    <row r="11" ht="15" customHeight="1">
      <c r="B11" s="1" t="inlineStr">
        <is>
          <t>徒歩</t>
        </is>
      </c>
      <c r="C11" s="203" t="n">
        <v>27</v>
      </c>
      <c r="D11" s="1" t="inlineStr">
        <is>
          <t>分</t>
        </is>
      </c>
      <c r="M11" s="1" t="inlineStr">
        <is>
          <t>商業地域</t>
        </is>
      </c>
      <c r="N11" s="1" t="inlineStr">
        <is>
          <t>1935年(昭和10年)</t>
        </is>
      </c>
      <c r="O11" s="1" t="n">
        <v>91</v>
      </c>
      <c r="R11" s="1" t="inlineStr">
        <is>
          <t>4K</t>
        </is>
      </c>
      <c r="S11" s="4">
        <f>S9</f>
        <v/>
      </c>
    </row>
    <row r="12" ht="15" customHeight="1">
      <c r="A12" s="1" t="inlineStr">
        <is>
          <t>建物情報</t>
        </is>
      </c>
      <c r="M12" s="1" t="inlineStr">
        <is>
          <t>準工業地域</t>
        </is>
      </c>
      <c r="N12" s="1" t="inlineStr">
        <is>
          <t>1936年(昭和11年)</t>
        </is>
      </c>
      <c r="O12" s="1" t="n">
        <v>90</v>
      </c>
      <c r="R12" s="1" t="inlineStr">
        <is>
          <t>3LDK</t>
        </is>
      </c>
      <c r="S12" s="4">
        <f>S11+$V$3</f>
        <v/>
      </c>
    </row>
    <row r="13" ht="15" customHeight="1">
      <c r="B13" s="1" t="inlineStr">
        <is>
          <t>建築年</t>
        </is>
      </c>
      <c r="C13" s="207" t="inlineStr">
        <is>
          <t>2016年(平成28年)</t>
        </is>
      </c>
      <c r="E13" s="17" t="inlineStr">
        <is>
          <t>築年数</t>
        </is>
      </c>
      <c r="F13" s="6">
        <f>VLOOKUP(C13,N:O,2,1)</f>
        <v/>
      </c>
      <c r="G13" s="1" t="inlineStr">
        <is>
          <t>年</t>
        </is>
      </c>
      <c r="H13" s="25" t="inlineStr">
        <is>
          <t>残耐用年数</t>
        </is>
      </c>
      <c r="I13" s="938">
        <f>F14-F13</f>
        <v/>
      </c>
      <c r="J13" s="1" t="inlineStr">
        <is>
          <t>年</t>
        </is>
      </c>
      <c r="M13" s="1" t="inlineStr">
        <is>
          <t>工業地域</t>
        </is>
      </c>
      <c r="N13" s="1" t="inlineStr">
        <is>
          <t>1937年(昭和12年)</t>
        </is>
      </c>
      <c r="O13" s="1" t="n">
        <v>89</v>
      </c>
      <c r="R13" s="1" t="inlineStr">
        <is>
          <t>4DK</t>
        </is>
      </c>
      <c r="S13" s="4">
        <f>S12</f>
        <v/>
      </c>
    </row>
    <row r="14" ht="15" customHeight="1">
      <c r="B14" s="1" t="inlineStr">
        <is>
          <t>構造・種類</t>
        </is>
      </c>
      <c r="C14" s="207" t="inlineStr">
        <is>
          <t>木造</t>
        </is>
      </c>
      <c r="E14" s="17" t="inlineStr">
        <is>
          <t>耐用年数</t>
        </is>
      </c>
      <c r="F14" s="10">
        <f>VLOOKUP(C14,P:Q,2,0)</f>
        <v/>
      </c>
      <c r="G14" s="1" t="inlineStr">
        <is>
          <t>年</t>
        </is>
      </c>
      <c r="H14" s="24">
        <f>C13&amp;"　築"&amp;F13&amp;"年"</f>
        <v/>
      </c>
      <c r="I14" s="7" t="n"/>
      <c r="J14" s="8" t="n"/>
      <c r="M14" s="1" t="inlineStr">
        <is>
          <t>工業専用地域</t>
        </is>
      </c>
      <c r="N14" s="1" t="inlineStr">
        <is>
          <t>1938年(昭和13年)</t>
        </is>
      </c>
      <c r="O14" s="1" t="n">
        <v>88</v>
      </c>
      <c r="R14" s="1" t="inlineStr">
        <is>
          <t>5K</t>
        </is>
      </c>
      <c r="S14" s="4">
        <f>S12</f>
        <v/>
      </c>
    </row>
    <row r="15" ht="15" customHeight="1">
      <c r="B15" s="1" t="inlineStr">
        <is>
          <t>間取り</t>
        </is>
      </c>
      <c r="C15" s="207" t="inlineStr">
        <is>
          <t>3LDK</t>
        </is>
      </c>
      <c r="D15" s="1" t="inlineStr">
        <is>
          <t xml:space="preserve"> </t>
        </is>
      </c>
      <c r="E15" s="17" t="inlineStr">
        <is>
          <t>内装リフォーム</t>
        </is>
      </c>
      <c r="F15" s="11">
        <f>VLOOKUP(C15,R:S,2,0)</f>
        <v/>
      </c>
      <c r="M15" s="1" t="inlineStr">
        <is>
          <t>非線引き区域</t>
        </is>
      </c>
      <c r="N15" s="1" t="inlineStr">
        <is>
          <t>1939年(昭和14年)</t>
        </is>
      </c>
      <c r="O15" s="1" t="n">
        <v>87</v>
      </c>
      <c r="R15" s="1" t="inlineStr">
        <is>
          <t>4LDK</t>
        </is>
      </c>
      <c r="S15" s="4">
        <f>S14+$V$3</f>
        <v/>
      </c>
    </row>
    <row r="16" ht="15" customHeight="1">
      <c r="B16" s="1" t="inlineStr">
        <is>
          <t>階高</t>
        </is>
      </c>
      <c r="C16" s="202" t="inlineStr">
        <is>
          <t>2階建て</t>
        </is>
      </c>
      <c r="E16" s="18" t="n"/>
      <c r="M16" s="1" t="inlineStr">
        <is>
          <t>市街化調整区域</t>
        </is>
      </c>
      <c r="N16" s="1" t="inlineStr">
        <is>
          <t>1940年(昭和15年)</t>
        </is>
      </c>
      <c r="O16" s="1" t="n">
        <v>86</v>
      </c>
      <c r="R16" s="1" t="inlineStr">
        <is>
          <t>5DK</t>
        </is>
      </c>
      <c r="S16" s="4">
        <f>S15</f>
        <v/>
      </c>
    </row>
    <row r="17" ht="15" customHeight="1">
      <c r="B17" s="1" t="inlineStr">
        <is>
          <t>1階</t>
        </is>
      </c>
      <c r="C17" s="202" t="n">
        <v>50.51</v>
      </c>
      <c r="D17" s="1" t="inlineStr">
        <is>
          <t>㎡</t>
        </is>
      </c>
      <c r="E17" s="18" t="inlineStr">
        <is>
          <t>(現状建蔽率)</t>
        </is>
      </c>
      <c r="F17" s="27">
        <f>C17/C5</f>
        <v/>
      </c>
      <c r="G17" s="16" t="inlineStr">
        <is>
          <t>判定⇒</t>
        </is>
      </c>
      <c r="H17" s="19">
        <f>IF(F17&lt;=C7,"OK","NG")</f>
        <v/>
      </c>
      <c r="N17" s="1" t="inlineStr">
        <is>
          <t>1941年(昭和16年)</t>
        </is>
      </c>
      <c r="O17" s="1" t="n">
        <v>85</v>
      </c>
      <c r="R17" s="1" t="inlineStr">
        <is>
          <t>6K</t>
        </is>
      </c>
      <c r="S17" s="4">
        <f>S15</f>
        <v/>
      </c>
    </row>
    <row r="18" ht="15" customHeight="1">
      <c r="B18" s="1" t="inlineStr">
        <is>
          <t>2階</t>
        </is>
      </c>
      <c r="C18" s="202" t="n">
        <v>19.87</v>
      </c>
      <c r="D18" s="1" t="inlineStr">
        <is>
          <t>㎡</t>
        </is>
      </c>
      <c r="E18" s="18" t="inlineStr">
        <is>
          <t>延床面積</t>
        </is>
      </c>
      <c r="F18" s="6">
        <f>SUM(C17:C19)</f>
        <v/>
      </c>
      <c r="G18" s="16" t="inlineStr">
        <is>
          <t>㎡</t>
        </is>
      </c>
      <c r="H18" s="20">
        <f>F18/3.305</f>
        <v/>
      </c>
      <c r="I18" s="1" t="inlineStr">
        <is>
          <t>坪</t>
        </is>
      </c>
      <c r="N18" s="1" t="inlineStr">
        <is>
          <t>1942年(昭和17年)</t>
        </is>
      </c>
      <c r="O18" s="1" t="n">
        <v>84</v>
      </c>
      <c r="R18" s="1" t="inlineStr">
        <is>
          <t>5LDK</t>
        </is>
      </c>
      <c r="S18" s="4">
        <f>S17+$V$3</f>
        <v/>
      </c>
    </row>
    <row r="19" ht="15" customHeight="1">
      <c r="B19" s="1" t="inlineStr">
        <is>
          <t>3階</t>
        </is>
      </c>
      <c r="C19" s="202" t="n"/>
      <c r="D19" s="1" t="inlineStr">
        <is>
          <t>㎡</t>
        </is>
      </c>
      <c r="E19" s="18" t="inlineStr">
        <is>
          <t>(現状容積率)</t>
        </is>
      </c>
      <c r="F19" s="27">
        <f>F18/C5</f>
        <v/>
      </c>
      <c r="G19" s="16" t="inlineStr">
        <is>
          <t>判定⇒</t>
        </is>
      </c>
      <c r="H19" s="19">
        <f>IF(F19&lt;=MIN(C8,C21*C20),"OK","NG")</f>
        <v/>
      </c>
      <c r="N19" s="1" t="inlineStr">
        <is>
          <t>1943年(昭和18年)</t>
        </is>
      </c>
      <c r="O19" s="1" t="n">
        <v>83</v>
      </c>
      <c r="R19" s="1" t="inlineStr">
        <is>
          <t>6DK</t>
        </is>
      </c>
      <c r="S19" s="4">
        <f>S18</f>
        <v/>
      </c>
    </row>
    <row r="20" ht="15" customHeight="1">
      <c r="B20" s="1" t="inlineStr">
        <is>
          <t>前面道路幅員</t>
        </is>
      </c>
      <c r="C20" s="202" t="n">
        <v>4.6</v>
      </c>
      <c r="D20" s="479" t="inlineStr">
        <is>
          <t>m</t>
        </is>
      </c>
      <c r="F20" s="13" t="n"/>
      <c r="G20" s="12" t="n"/>
      <c r="N20" s="198" t="inlineStr">
        <is>
          <t>1944年(昭和19年)</t>
        </is>
      </c>
      <c r="O20" s="1" t="n">
        <v>82</v>
      </c>
    </row>
    <row r="21">
      <c r="B21" s="1" t="inlineStr">
        <is>
          <t>容積率低減係数</t>
        </is>
      </c>
      <c r="C21" s="202" t="n">
        <v>0.4</v>
      </c>
      <c r="N21" s="1" t="inlineStr">
        <is>
          <t>1945年(昭和20年)</t>
        </is>
      </c>
      <c r="O21" s="1" t="n">
        <v>81</v>
      </c>
    </row>
    <row r="22">
      <c r="N22" s="198" t="inlineStr">
        <is>
          <t>1946年(昭和21年)</t>
        </is>
      </c>
      <c r="O22" s="1" t="n">
        <v>80</v>
      </c>
    </row>
    <row r="23">
      <c r="A23" s="1" t="inlineStr">
        <is>
          <t>固定資産税路線価（全国地価マップより、公示価格の70%）</t>
        </is>
      </c>
      <c r="N23" s="198" t="inlineStr">
        <is>
          <t>1947年(昭和22年)</t>
        </is>
      </c>
      <c r="O23" s="1" t="n">
        <v>79</v>
      </c>
    </row>
    <row r="24" ht="15" customHeight="1">
      <c r="C24" s="204" t="n">
        <v>166000</v>
      </c>
      <c r="D24" s="1" t="inlineStr">
        <is>
          <t>円/㎡</t>
        </is>
      </c>
      <c r="G24" s="1" t="inlineStr">
        <is>
          <t>⇒土地積算評価(固定)</t>
        </is>
      </c>
      <c r="I24" s="11">
        <f>C24*C5</f>
        <v/>
      </c>
      <c r="J24" s="3" t="inlineStr">
        <is>
          <t>円</t>
        </is>
      </c>
      <c r="N24" s="1" t="inlineStr">
        <is>
          <t>1948年(昭和23年)</t>
        </is>
      </c>
      <c r="O24" s="1" t="n">
        <v>78</v>
      </c>
    </row>
    <row r="25">
      <c r="A25" s="1" t="inlineStr">
        <is>
          <t>相続税路線価（全国地価マップより、公示価格の80%）</t>
        </is>
      </c>
      <c r="N25" s="1" t="inlineStr">
        <is>
          <t>1949年(昭和24年)</t>
        </is>
      </c>
      <c r="O25" s="1" t="n">
        <v>77</v>
      </c>
    </row>
    <row r="26" ht="15" customHeight="1">
      <c r="C26" s="482">
        <f>C24/0.7*0.8/1000</f>
        <v/>
      </c>
      <c r="D26" s="208" t="inlineStr">
        <is>
          <t>E</t>
        </is>
      </c>
      <c r="E26" s="11">
        <f>C26*1000</f>
        <v/>
      </c>
      <c r="F26" s="1" t="inlineStr">
        <is>
          <t>円/㎡</t>
        </is>
      </c>
      <c r="G26" s="1" t="inlineStr">
        <is>
          <t>⇒土地積算評価(相続)</t>
        </is>
      </c>
      <c r="I26" s="11">
        <f>E26*C5</f>
        <v/>
      </c>
      <c r="J26" s="1" t="inlineStr">
        <is>
          <t>円</t>
        </is>
      </c>
      <c r="N26" s="1" t="inlineStr">
        <is>
          <t>1950年(昭和25年)</t>
        </is>
      </c>
      <c r="O26" s="1" t="n">
        <v>76</v>
      </c>
    </row>
    <row r="27">
      <c r="A27" s="1" t="inlineStr">
        <is>
          <t>公示価格（固定資産税路線価÷0.7）</t>
        </is>
      </c>
      <c r="N27" s="1" t="inlineStr">
        <is>
          <t>1951年(昭和26年)</t>
        </is>
      </c>
      <c r="O27" s="1" t="n">
        <v>75</v>
      </c>
    </row>
    <row r="28" ht="15" customHeight="1">
      <c r="C28" s="23">
        <f>C24/0.7</f>
        <v/>
      </c>
      <c r="E28" s="11">
        <f>C24/0.7</f>
        <v/>
      </c>
      <c r="F28" s="1" t="inlineStr">
        <is>
          <t>円/㎡</t>
        </is>
      </c>
      <c r="G28" s="1" t="inlineStr">
        <is>
          <t>⇒土地積算評価(公示)</t>
        </is>
      </c>
      <c r="I28" s="11">
        <f>E28*C5</f>
        <v/>
      </c>
      <c r="J28" s="1" t="inlineStr">
        <is>
          <t>円</t>
        </is>
      </c>
      <c r="N28" s="1" t="inlineStr">
        <is>
          <t>1952年(昭和27年)</t>
        </is>
      </c>
      <c r="O28" s="1" t="n">
        <v>74</v>
      </c>
    </row>
    <row r="29">
      <c r="A29" s="1" t="inlineStr">
        <is>
          <t>再調達価格</t>
        </is>
      </c>
      <c r="C29" s="556" t="inlineStr">
        <is>
          <t>再調達価格のHP</t>
        </is>
      </c>
      <c r="D29" s="939" t="n"/>
      <c r="F29" s="3" t="n"/>
      <c r="N29" s="1" t="inlineStr">
        <is>
          <t>1953年(昭和28年)</t>
        </is>
      </c>
      <c r="O29" s="1" t="n">
        <v>73</v>
      </c>
    </row>
    <row r="30" ht="15" customHeight="1">
      <c r="C30" s="205" t="n">
        <v>100000</v>
      </c>
      <c r="D30" s="1" t="inlineStr">
        <is>
          <t>円/㎡</t>
        </is>
      </c>
      <c r="G30" s="1" t="inlineStr">
        <is>
          <t>⇒建物積算評価</t>
        </is>
      </c>
      <c r="I30" s="21">
        <f>MAX(0,F18*C30*(I13/F14))</f>
        <v/>
      </c>
      <c r="J30" s="1" t="inlineStr">
        <is>
          <t>円</t>
        </is>
      </c>
      <c r="L30" s="14" t="n"/>
      <c r="N30" s="1" t="inlineStr">
        <is>
          <t>1954年(昭和29年)</t>
        </is>
      </c>
      <c r="O30" s="1" t="n">
        <v>72</v>
      </c>
    </row>
    <row r="31">
      <c r="N31" s="1" t="inlineStr">
        <is>
          <t>1955年(昭和30年)</t>
        </is>
      </c>
      <c r="O31" s="1" t="n">
        <v>71</v>
      </c>
    </row>
    <row r="32">
      <c r="A32" s="1" t="inlineStr">
        <is>
          <t>積算価格（固定資産税路線価+建物積算）</t>
        </is>
      </c>
      <c r="I32" s="22">
        <f>I24+I30</f>
        <v/>
      </c>
      <c r="J32" s="1" t="inlineStr">
        <is>
          <t>円</t>
        </is>
      </c>
      <c r="L32" s="14" t="n"/>
      <c r="N32" s="1" t="inlineStr">
        <is>
          <t>1956年(昭和31年)</t>
        </is>
      </c>
      <c r="O32" s="1" t="n">
        <v>70</v>
      </c>
    </row>
    <row r="33">
      <c r="N33" s="1" t="inlineStr">
        <is>
          <t>1957年(昭和32年)</t>
        </is>
      </c>
      <c r="O33" s="1" t="n">
        <v>69</v>
      </c>
    </row>
    <row r="34">
      <c r="A34" s="1" t="inlineStr">
        <is>
          <t>国交省取引平均価格</t>
        </is>
      </c>
      <c r="C34" s="236" t="inlineStr">
        <is>
          <t>国土交通省HP</t>
        </is>
      </c>
      <c r="E34" s="15" t="n"/>
      <c r="N34" s="1" t="inlineStr">
        <is>
          <t>1958年(昭和33年)</t>
        </is>
      </c>
      <c r="O34" s="1" t="n">
        <v>68</v>
      </c>
    </row>
    <row r="35" ht="15" customHeight="1">
      <c r="C35" s="206" t="n">
        <v>200000</v>
      </c>
      <c r="D35" s="1" t="inlineStr">
        <is>
          <t>円/坪</t>
        </is>
      </c>
      <c r="G35" s="1" t="inlineStr">
        <is>
          <t>⇒土地概算(国交省)</t>
        </is>
      </c>
      <c r="I35" s="11">
        <f>C35*E5</f>
        <v/>
      </c>
      <c r="J35" s="3" t="inlineStr">
        <is>
          <t>円</t>
        </is>
      </c>
      <c r="N35" s="1" t="inlineStr">
        <is>
          <t>1959年(昭和34年)</t>
        </is>
      </c>
      <c r="O35" s="1" t="n">
        <v>67</v>
      </c>
    </row>
    <row r="36">
      <c r="N36" s="1" t="inlineStr">
        <is>
          <t>1960年(昭和35年)</t>
        </is>
      </c>
      <c r="O36" s="1" t="n">
        <v>66</v>
      </c>
    </row>
    <row r="37">
      <c r="A37" s="1" t="inlineStr">
        <is>
          <t>想定賃料(円)</t>
        </is>
      </c>
      <c r="F37" s="3" t="n"/>
      <c r="N37" s="1" t="inlineStr">
        <is>
          <t>1961年(昭和36年)</t>
        </is>
      </c>
      <c r="O37" s="1" t="n">
        <v>65</v>
      </c>
    </row>
    <row r="38" ht="15" customHeight="1">
      <c r="C38" s="206" t="n">
        <v>140000</v>
      </c>
      <c r="D38" s="3" t="inlineStr">
        <is>
          <t>円～</t>
        </is>
      </c>
      <c r="E38" s="1" t="inlineStr">
        <is>
          <t>賃料平均</t>
        </is>
      </c>
      <c r="F38" s="22">
        <f>AVERAGE(C38:C39)</f>
        <v/>
      </c>
      <c r="N38" s="1" t="inlineStr">
        <is>
          <t>1962年(昭和37年)</t>
        </is>
      </c>
      <c r="O38" s="1" t="n">
        <v>64</v>
      </c>
    </row>
    <row r="39" ht="15" customHeight="1">
      <c r="C39" s="206" t="n">
        <v>140000</v>
      </c>
      <c r="D39" s="1" t="inlineStr">
        <is>
          <t>円</t>
        </is>
      </c>
      <c r="N39" s="1" t="inlineStr">
        <is>
          <t>1963年(昭和38年)</t>
        </is>
      </c>
      <c r="O39" s="1" t="n">
        <v>63</v>
      </c>
    </row>
    <row r="40">
      <c r="N40" s="1" t="inlineStr">
        <is>
          <t>1964年(昭和39年)</t>
        </is>
      </c>
      <c r="O40" s="1" t="n">
        <v>62</v>
      </c>
    </row>
    <row r="41">
      <c r="A41" s="1" t="inlineStr">
        <is>
          <t>AI査定</t>
        </is>
      </c>
      <c r="F41" s="3" t="n"/>
      <c r="N41" s="198" t="inlineStr">
        <is>
          <t>1965年(昭和40年)</t>
        </is>
      </c>
      <c r="O41" s="1" t="n">
        <v>61</v>
      </c>
    </row>
    <row r="42" ht="15" customHeight="1">
      <c r="C42" s="206" t="n">
        <v>7000000</v>
      </c>
      <c r="D42" s="3" t="inlineStr">
        <is>
          <t>円～</t>
        </is>
      </c>
      <c r="E42" s="1" t="inlineStr">
        <is>
          <t>AI査定MAX</t>
        </is>
      </c>
      <c r="F42" s="22">
        <f>C43</f>
        <v/>
      </c>
      <c r="N42" s="198" t="inlineStr">
        <is>
          <t>1966年(昭和41年)</t>
        </is>
      </c>
      <c r="O42" s="1" t="n">
        <v>60</v>
      </c>
    </row>
    <row r="43" ht="15" customHeight="1">
      <c r="C43" s="206" t="n">
        <v>10000000</v>
      </c>
      <c r="D43" s="1" t="inlineStr">
        <is>
          <t>円</t>
        </is>
      </c>
      <c r="N43" s="198" t="inlineStr">
        <is>
          <t>1967年(昭和42年)</t>
        </is>
      </c>
      <c r="O43" s="1" t="n">
        <v>59</v>
      </c>
    </row>
    <row r="44">
      <c r="N44" s="198" t="inlineStr">
        <is>
          <t>1968年(昭和43年)</t>
        </is>
      </c>
      <c r="O44" s="1" t="n">
        <v>58</v>
      </c>
    </row>
    <row r="45">
      <c r="N45" s="1" t="inlineStr">
        <is>
          <t>1969年(昭和44年)</t>
        </is>
      </c>
      <c r="O45" s="1" t="n">
        <v>57</v>
      </c>
    </row>
    <row r="46">
      <c r="N46" s="1" t="inlineStr">
        <is>
          <t>1970年(昭和45年)</t>
        </is>
      </c>
      <c r="O46" s="1" t="n">
        <v>56</v>
      </c>
    </row>
    <row r="47">
      <c r="N47" s="198" t="inlineStr">
        <is>
          <t>1971年(昭和46年)</t>
        </is>
      </c>
      <c r="O47" s="1" t="n">
        <v>55</v>
      </c>
    </row>
    <row r="48">
      <c r="N48" s="1" t="inlineStr">
        <is>
          <t>1972年(昭和47年)</t>
        </is>
      </c>
      <c r="O48" s="1" t="n">
        <v>54</v>
      </c>
    </row>
    <row r="49">
      <c r="N49" s="1" t="inlineStr">
        <is>
          <t>1973年(昭和48年)</t>
        </is>
      </c>
      <c r="O49" s="1" t="n">
        <v>53</v>
      </c>
    </row>
    <row r="50">
      <c r="N50" s="1" t="inlineStr">
        <is>
          <t>1974年(昭和49年)</t>
        </is>
      </c>
      <c r="O50" s="1" t="n">
        <v>52</v>
      </c>
    </row>
    <row r="51">
      <c r="N51" s="1" t="inlineStr">
        <is>
          <t>1975年(昭和50年)</t>
        </is>
      </c>
      <c r="O51" s="1" t="n">
        <v>51</v>
      </c>
    </row>
    <row r="52">
      <c r="N52" s="198" t="inlineStr">
        <is>
          <t>1976年(昭和51年)</t>
        </is>
      </c>
      <c r="O52" s="1" t="n">
        <v>50</v>
      </c>
    </row>
    <row r="53">
      <c r="N53" s="1" t="inlineStr">
        <is>
          <t>1977年(昭和52年)</t>
        </is>
      </c>
      <c r="O53" s="1" t="n">
        <v>49</v>
      </c>
    </row>
    <row r="54">
      <c r="N54" s="1" t="inlineStr">
        <is>
          <t>1978年(昭和53年)</t>
        </is>
      </c>
      <c r="O54" s="1" t="n">
        <v>48</v>
      </c>
    </row>
    <row r="55">
      <c r="N55" s="1" t="inlineStr">
        <is>
          <t>1979年(昭和54年)</t>
        </is>
      </c>
      <c r="O55" s="1" t="n">
        <v>47</v>
      </c>
    </row>
    <row r="56">
      <c r="N56" s="1" t="inlineStr">
        <is>
          <t>1980年(昭和55年)</t>
        </is>
      </c>
      <c r="O56" s="1" t="n">
        <v>46</v>
      </c>
    </row>
    <row r="57">
      <c r="N57" s="1" t="inlineStr">
        <is>
          <t>1981年(昭和56年)</t>
        </is>
      </c>
      <c r="O57" s="1" t="n">
        <v>45</v>
      </c>
    </row>
    <row r="58">
      <c r="N58" s="1" t="inlineStr">
        <is>
          <t>1982年(昭和57年)</t>
        </is>
      </c>
      <c r="O58" s="1" t="n">
        <v>44</v>
      </c>
    </row>
    <row r="59">
      <c r="N59" s="1" t="inlineStr">
        <is>
          <t>1983年(昭和58年)</t>
        </is>
      </c>
      <c r="O59" s="1" t="n">
        <v>43</v>
      </c>
    </row>
    <row r="60">
      <c r="N60" s="1" t="inlineStr">
        <is>
          <t>1984年(昭和59年)</t>
        </is>
      </c>
      <c r="O60" s="1" t="n">
        <v>42</v>
      </c>
    </row>
    <row r="61">
      <c r="N61" s="1" t="inlineStr">
        <is>
          <t>1985年(昭和60年)</t>
        </is>
      </c>
      <c r="O61" s="1" t="n">
        <v>41</v>
      </c>
    </row>
    <row r="62">
      <c r="N62" s="1" t="inlineStr">
        <is>
          <t>1986年(昭和61年)</t>
        </is>
      </c>
      <c r="O62" s="1" t="n">
        <v>40</v>
      </c>
    </row>
    <row r="63">
      <c r="N63" s="1" t="inlineStr">
        <is>
          <t>1987年(昭和62年)</t>
        </is>
      </c>
      <c r="O63" s="1" t="n">
        <v>39</v>
      </c>
    </row>
    <row r="64">
      <c r="N64" s="1" t="inlineStr">
        <is>
          <t>1988年(昭和63年)</t>
        </is>
      </c>
      <c r="O64" s="1" t="n">
        <v>38</v>
      </c>
    </row>
    <row r="65">
      <c r="N65" s="1" t="inlineStr">
        <is>
          <t>1989年(昭和64年・平成元年)</t>
        </is>
      </c>
      <c r="O65" s="1" t="n">
        <v>37</v>
      </c>
    </row>
    <row r="66">
      <c r="N66" s="1" t="inlineStr">
        <is>
          <t>1990年(平成2年)</t>
        </is>
      </c>
      <c r="O66" s="1" t="n">
        <v>36</v>
      </c>
    </row>
    <row r="67">
      <c r="N67" s="1" t="inlineStr">
        <is>
          <t>1991年(平成3年)</t>
        </is>
      </c>
      <c r="O67" s="1" t="n">
        <v>35</v>
      </c>
    </row>
    <row r="68">
      <c r="N68" s="1" t="inlineStr">
        <is>
          <t>1992年(平成4年)</t>
        </is>
      </c>
      <c r="O68" s="1" t="n">
        <v>34</v>
      </c>
    </row>
    <row r="69">
      <c r="N69" s="1" t="inlineStr">
        <is>
          <t>1993年(平成5年)</t>
        </is>
      </c>
      <c r="O69" s="1" t="n">
        <v>33</v>
      </c>
    </row>
    <row r="70">
      <c r="N70" s="1" t="inlineStr">
        <is>
          <t>1994年(平成6年)</t>
        </is>
      </c>
      <c r="O70" s="1" t="n">
        <v>32</v>
      </c>
    </row>
    <row r="71">
      <c r="N71" s="1" t="inlineStr">
        <is>
          <t>1995年(平成7年)</t>
        </is>
      </c>
      <c r="O71" s="1" t="n">
        <v>31</v>
      </c>
    </row>
    <row r="72">
      <c r="N72" s="1" t="inlineStr">
        <is>
          <t>1996年(平成8年)</t>
        </is>
      </c>
      <c r="O72" s="1" t="n">
        <v>30</v>
      </c>
    </row>
    <row r="73">
      <c r="N73" s="1" t="inlineStr">
        <is>
          <t>1997年(平成9年)</t>
        </is>
      </c>
      <c r="O73" s="1" t="n">
        <v>29</v>
      </c>
    </row>
    <row r="74">
      <c r="N74" s="1" t="inlineStr">
        <is>
          <t>1998年(平成10年)</t>
        </is>
      </c>
      <c r="O74" s="1" t="n">
        <v>28</v>
      </c>
    </row>
    <row r="75">
      <c r="N75" s="1" t="inlineStr">
        <is>
          <t>1999年(平成11年)</t>
        </is>
      </c>
      <c r="O75" s="1" t="n">
        <v>27</v>
      </c>
    </row>
    <row r="76">
      <c r="N76" s="1" t="inlineStr">
        <is>
          <t>2000年(平成12年)</t>
        </is>
      </c>
      <c r="O76" s="1" t="n">
        <v>26</v>
      </c>
    </row>
    <row r="77">
      <c r="N77" s="1" t="inlineStr">
        <is>
          <t>2001年(平成13年)</t>
        </is>
      </c>
      <c r="O77" s="1" t="n">
        <v>25</v>
      </c>
    </row>
    <row r="78">
      <c r="N78" s="1" t="inlineStr">
        <is>
          <t>2002年(平成14年)</t>
        </is>
      </c>
      <c r="O78" s="1" t="n">
        <v>24</v>
      </c>
    </row>
    <row r="79">
      <c r="N79" s="1" t="inlineStr">
        <is>
          <t>2003年(平成15年)</t>
        </is>
      </c>
      <c r="O79" s="1" t="n">
        <v>23</v>
      </c>
    </row>
    <row r="80">
      <c r="N80" s="1" t="inlineStr">
        <is>
          <t>2004年(平成16年)</t>
        </is>
      </c>
      <c r="O80" s="1" t="n">
        <v>22</v>
      </c>
    </row>
    <row r="81">
      <c r="N81" s="1" t="inlineStr">
        <is>
          <t>2005年(平成17年)</t>
        </is>
      </c>
      <c r="O81" s="1" t="n">
        <v>21</v>
      </c>
    </row>
    <row r="82">
      <c r="N82" s="1" t="inlineStr">
        <is>
          <t>2006年(平成18年)</t>
        </is>
      </c>
      <c r="O82" s="1" t="n">
        <v>20</v>
      </c>
    </row>
    <row r="83">
      <c r="N83" s="1" t="inlineStr">
        <is>
          <t>2007年(平成19年)</t>
        </is>
      </c>
      <c r="O83" s="1" t="n">
        <v>19</v>
      </c>
    </row>
    <row r="84">
      <c r="N84" s="1" t="inlineStr">
        <is>
          <t>2008年(平成20年)</t>
        </is>
      </c>
      <c r="O84" s="1" t="n">
        <v>18</v>
      </c>
    </row>
    <row r="85">
      <c r="N85" s="1" t="inlineStr">
        <is>
          <t>2009年(平成21年)</t>
        </is>
      </c>
      <c r="O85" s="1" t="n">
        <v>17</v>
      </c>
    </row>
    <row r="86">
      <c r="N86" s="1" t="inlineStr">
        <is>
          <t>2010年(平成22年)</t>
        </is>
      </c>
      <c r="O86" s="1" t="n">
        <v>16</v>
      </c>
    </row>
    <row r="87">
      <c r="N87" s="1" t="inlineStr">
        <is>
          <t>2011年(平成23年)</t>
        </is>
      </c>
      <c r="O87" s="1" t="n">
        <v>15</v>
      </c>
    </row>
    <row r="88">
      <c r="N88" s="1" t="inlineStr">
        <is>
          <t>2012年(平成24年)</t>
        </is>
      </c>
      <c r="O88" s="1" t="n">
        <v>14</v>
      </c>
    </row>
    <row r="89">
      <c r="N89" s="1" t="inlineStr">
        <is>
          <t>2013年(平成25年)</t>
        </is>
      </c>
      <c r="O89" s="1" t="n">
        <v>13</v>
      </c>
    </row>
    <row r="90">
      <c r="N90" s="1" t="inlineStr">
        <is>
          <t>2014年(平成26年)</t>
        </is>
      </c>
      <c r="O90" s="1" t="n">
        <v>12</v>
      </c>
    </row>
    <row r="91">
      <c r="N91" s="1" t="inlineStr">
        <is>
          <t>2015年(平成27年)</t>
        </is>
      </c>
      <c r="O91" s="1" t="n">
        <v>11</v>
      </c>
    </row>
    <row r="92">
      <c r="N92" s="1" t="inlineStr">
        <is>
          <t>2016年(平成28年)</t>
        </is>
      </c>
      <c r="O92" s="1" t="n">
        <v>10</v>
      </c>
    </row>
    <row r="93">
      <c r="N93" s="1" t="inlineStr">
        <is>
          <t>2017年(平成29年)</t>
        </is>
      </c>
      <c r="O93" s="1" t="n">
        <v>9</v>
      </c>
    </row>
    <row r="94">
      <c r="N94" s="1" t="inlineStr">
        <is>
          <t>2018年(平成30年)</t>
        </is>
      </c>
      <c r="O94" s="1" t="n">
        <v>8</v>
      </c>
    </row>
    <row r="95">
      <c r="N95" s="1" t="inlineStr">
        <is>
          <t>2019年(平成31年・令和元年)</t>
        </is>
      </c>
      <c r="O95" s="1" t="n">
        <v>7</v>
      </c>
    </row>
    <row r="96">
      <c r="N96" s="1" t="inlineStr">
        <is>
          <t>2020年(令和2年)</t>
        </is>
      </c>
      <c r="O96" s="1" t="n">
        <v>6</v>
      </c>
    </row>
    <row r="97">
      <c r="N97" s="1" t="inlineStr">
        <is>
          <t>2021年(令和3年)</t>
        </is>
      </c>
      <c r="O97" s="1" t="n">
        <v>5</v>
      </c>
    </row>
    <row r="98">
      <c r="N98" s="1" t="inlineStr">
        <is>
          <t>2022年(令和4年)</t>
        </is>
      </c>
      <c r="O98" s="1" t="n">
        <v>4</v>
      </c>
    </row>
    <row r="99">
      <c r="N99" s="1" t="inlineStr">
        <is>
          <t>2023年(令和5年)</t>
        </is>
      </c>
      <c r="O99" s="1" t="n">
        <v>3</v>
      </c>
    </row>
    <row r="100">
      <c r="N100" s="1" t="inlineStr">
        <is>
          <t>2024年(令和6年)</t>
        </is>
      </c>
      <c r="O100" s="1" t="n">
        <v>2</v>
      </c>
    </row>
    <row r="101">
      <c r="N101" s="198" t="inlineStr">
        <is>
          <t>2025年(令和7年)</t>
        </is>
      </c>
      <c r="O101" s="1" t="n">
        <v>1</v>
      </c>
    </row>
    <row r="102">
      <c r="N102" s="1" t="inlineStr">
        <is>
          <t>2026年(令和8年)</t>
        </is>
      </c>
      <c r="O102" s="1" t="n">
        <v>0</v>
      </c>
    </row>
  </sheetData>
  <mergeCells count="3">
    <mergeCell ref="C4:F4"/>
    <mergeCell ref="C29:D29"/>
    <mergeCell ref="C3:F3"/>
  </mergeCells>
  <conditionalFormatting sqref="C29">
    <cfRule type="containsText" priority="1" operator="containsText" dxfId="0" text="NG">
      <formula>NOT(ISERROR(SEARCH("NG",C29)))</formula>
    </cfRule>
  </conditionalFormatting>
  <dataValidations count="5">
    <dataValidation sqref="C14" showDropDown="0" showInputMessage="1" showErrorMessage="1" allowBlank="1" type="list">
      <formula1>$P$2:$P$6</formula1>
    </dataValidation>
    <dataValidation sqref="C6" showDropDown="0" showInputMessage="1" showErrorMessage="1" allowBlank="1" type="list">
      <formula1>$M$2:$M$16</formula1>
    </dataValidation>
    <dataValidation sqref="C15" showDropDown="0" showInputMessage="1" showErrorMessage="1" allowBlank="1" type="list">
      <formula1>$R$2:$R$19</formula1>
    </dataValidation>
    <dataValidation sqref="D26" showDropDown="0" showInputMessage="1" showErrorMessage="1" allowBlank="1" type="list">
      <formula1>$T$2:$T$8</formula1>
    </dataValidation>
    <dataValidation sqref="C13" showDropDown="0" showInputMessage="1" showErrorMessage="1" allowBlank="1" type="list">
      <formula1>$N$2:$N$102</formula1>
    </dataValidation>
  </dataValidations>
  <hyperlinks>
    <hyperlink xmlns:r="http://schemas.openxmlformats.org/officeDocument/2006/relationships" ref="D7" r:id="rId1"/>
    <hyperlink xmlns:r="http://schemas.openxmlformats.org/officeDocument/2006/relationships" ref="C29" r:id="rId2"/>
    <hyperlink xmlns:r="http://schemas.openxmlformats.org/officeDocument/2006/relationships" ref="C34" r:id="rId3"/>
  </hyperlinks>
  <pageMargins left="0.7" right="0.7" top="0.75" bottom="0.75" header="0.3" footer="0.3"/>
  <pageSetup orientation="portrait" paperSize="9" horizontalDpi="0" verticalDpi="0"/>
  <legacyDrawing xmlns:r="http://schemas.openxmlformats.org/officeDocument/2006/relationships" r:id="anysvml"/>
</worksheet>
</file>

<file path=xl/worksheets/sheet2.xml><?xml version="1.0" encoding="utf-8"?>
<worksheet xmlns="http://schemas.openxmlformats.org/spreadsheetml/2006/main">
  <sheetPr>
    <tabColor theme="1"/>
    <outlinePr summaryBelow="1" summaryRight="1"/>
    <pageSetUpPr fitToPage="1"/>
  </sheetPr>
  <dimension ref="A1:S83"/>
  <sheetViews>
    <sheetView showGridLines="0" tabSelected="1" view="pageBreakPreview" zoomScale="112" zoomScaleNormal="115" zoomScaleSheetLayoutView="130" workbookViewId="0">
      <selection activeCell="H72" sqref="H72"/>
    </sheetView>
  </sheetViews>
  <sheetFormatPr baseColWidth="10" defaultColWidth="11" defaultRowHeight="16.5" customHeight="1"/>
  <cols>
    <col width="12.1640625" customWidth="1" style="540" min="1" max="1"/>
    <col width="10.5" customWidth="1" style="31" min="2" max="3"/>
    <col width="11.1640625" bestFit="1" customWidth="1" style="31" min="4" max="4"/>
    <col width="7" bestFit="1" customWidth="1" style="31" min="5" max="5"/>
    <col width="2.1640625" customWidth="1" style="31" min="6" max="6"/>
    <col width="11" customWidth="1" style="31" min="7" max="7"/>
    <col width="12.83203125" customWidth="1" style="31" min="8" max="8"/>
    <col width="2.6640625" customWidth="1" style="31" min="9" max="9"/>
    <col width="13.33203125" customWidth="1" style="31" min="10" max="11"/>
    <col width="15.33203125" customWidth="1" style="31" min="12" max="12"/>
    <col width="12.5" bestFit="1" customWidth="1" style="31" min="13" max="13"/>
    <col width="2.6640625" customWidth="1" style="31" min="14" max="14"/>
    <col width="12.33203125" bestFit="1" customWidth="1" style="31" min="15" max="15"/>
    <col width="3.33203125" bestFit="1" customWidth="1" style="31" min="16" max="16"/>
    <col width="11.1640625" bestFit="1" customWidth="1" style="31" min="17" max="17"/>
    <col width="11" customWidth="1" style="31" min="18" max="16384"/>
  </cols>
  <sheetData>
    <row r="1" ht="16.5" customHeight="1" thickBot="1">
      <c r="A1" s="28" t="inlineStr">
        <is>
          <t xml:space="preserve">■１棟（土地・建物） 事 業 収 支  </t>
        </is>
      </c>
      <c r="B1" s="29" t="n"/>
      <c r="C1" s="29" t="n"/>
      <c r="D1" s="29" t="n"/>
      <c r="E1" s="29" t="n"/>
      <c r="F1" s="29" t="n"/>
      <c r="G1" s="29" t="n"/>
      <c r="H1" s="29" t="n"/>
      <c r="I1" s="29" t="n"/>
      <c r="J1" s="29" t="inlineStr">
        <is>
          <t>作成日</t>
        </is>
      </c>
      <c r="K1" s="30">
        <f>①物件情報入力シート!C1</f>
        <v/>
      </c>
      <c r="M1" s="463" t="n"/>
      <c r="N1" s="197" t="n"/>
    </row>
    <row r="2" ht="16.5" customFormat="1" customHeight="1" s="34">
      <c r="A2" s="32" t="inlineStr">
        <is>
          <t>仕入時</t>
        </is>
      </c>
      <c r="B2" s="33" t="inlineStr">
        <is>
          <t>販売時</t>
        </is>
      </c>
      <c r="C2" s="33" t="inlineStr">
        <is>
          <t>原価確定時</t>
        </is>
      </c>
      <c r="M2" s="464" t="n">
        <v>46388</v>
      </c>
      <c r="N2" s="197" t="n"/>
    </row>
    <row r="3" ht="16.5" customFormat="1" customHeight="1" s="34">
      <c r="J3" s="35" t="inlineStr">
        <is>
          <t>社長</t>
        </is>
      </c>
      <c r="K3" s="33" t="inlineStr">
        <is>
          <t>営業担当</t>
        </is>
      </c>
      <c r="N3" s="197" t="n"/>
    </row>
    <row r="4" ht="31.5" customFormat="1" customHeight="1" s="34">
      <c r="A4" s="36" t="n"/>
      <c r="J4" s="33" t="n"/>
      <c r="K4" s="37" t="n"/>
      <c r="N4" s="197" t="n"/>
    </row>
    <row r="5" ht="6.75" customFormat="1" customHeight="1" s="34">
      <c r="A5" s="38" t="n"/>
      <c r="S5" s="1" t="n"/>
    </row>
    <row r="6" ht="14" customFormat="1" customHeight="1" s="34">
      <c r="A6" s="39" t="inlineStr">
        <is>
          <t>物件名</t>
        </is>
      </c>
      <c r="B6" s="40">
        <f>①物件情報入力シート!C3</f>
        <v/>
      </c>
      <c r="C6" s="41" t="n"/>
      <c r="D6" s="41" t="n"/>
      <c r="E6" s="41" t="n"/>
      <c r="F6" s="42" t="n"/>
      <c r="G6" s="34" t="inlineStr">
        <is>
          <t>仕入契約予定</t>
        </is>
      </c>
      <c r="H6" s="43">
        <f>TODAY()+20</f>
        <v/>
      </c>
      <c r="J6" s="34" t="inlineStr">
        <is>
          <t>仕入決済予定</t>
        </is>
      </c>
      <c r="K6" s="43">
        <f>H6+30</f>
        <v/>
      </c>
    </row>
    <row r="7" ht="14" customFormat="1" customHeight="1" s="34">
      <c r="A7" s="39" t="inlineStr">
        <is>
          <t>所在地番</t>
        </is>
      </c>
      <c r="B7" s="40">
        <f>①物件情報入力シート!C4</f>
        <v/>
      </c>
      <c r="C7" s="41" t="n"/>
      <c r="D7" s="41" t="n"/>
      <c r="E7" s="41" t="n"/>
      <c r="F7" s="42" t="n"/>
      <c r="G7" s="34" t="inlineStr">
        <is>
          <t>売却契約予定</t>
        </is>
      </c>
      <c r="H7" s="43">
        <f>H6+90</f>
        <v/>
      </c>
      <c r="J7" s="34" t="inlineStr">
        <is>
          <t>売却決済予定</t>
        </is>
      </c>
      <c r="K7" s="43">
        <f>H7+30</f>
        <v/>
      </c>
    </row>
    <row r="8" ht="14" customFormat="1" customHeight="1" s="34" thickBot="1">
      <c r="A8" s="38" t="n"/>
      <c r="J8" s="44" t="n"/>
      <c r="K8" s="45">
        <f>"仕入れから売却まで "&amp;_xlfn.DAYS(K7,K6)&amp;" 日間"</f>
        <v/>
      </c>
      <c r="N8" s="197" t="n"/>
    </row>
    <row r="9" ht="15" customFormat="1" customHeight="1" s="34">
      <c r="A9" s="940" t="inlineStr">
        <is>
          <t>物　件　概　要</t>
        </is>
      </c>
      <c r="B9" s="941" t="n"/>
      <c r="C9" s="941" t="n"/>
      <c r="D9" s="941" t="n"/>
      <c r="E9" s="942" t="n"/>
      <c r="F9" s="46" t="n"/>
      <c r="G9" s="943" t="inlineStr">
        <is>
          <t>査定参考金額</t>
        </is>
      </c>
      <c r="H9" s="944" t="n"/>
      <c r="I9" s="47" t="n"/>
      <c r="J9" s="38" t="inlineStr">
        <is>
          <t>年間固定資産税</t>
        </is>
      </c>
      <c r="K9" s="945">
        <f>J13*0.02</f>
        <v/>
      </c>
      <c r="N9" s="197" t="n"/>
    </row>
    <row r="10" ht="14" customFormat="1" customHeight="1" s="34">
      <c r="A10" s="49" t="inlineStr">
        <is>
          <t>敷地面積</t>
        </is>
      </c>
      <c r="B10" s="946">
        <f>①物件情報入力シート!E5</f>
        <v/>
      </c>
      <c r="C10" s="947">
        <f>①物件情報入力シート!C5</f>
        <v/>
      </c>
      <c r="D10" s="52" t="n"/>
      <c r="E10" s="53" t="n"/>
      <c r="F10" s="54" t="n"/>
      <c r="G10" s="55" t="inlineStr">
        <is>
          <t>国交省取引価格</t>
        </is>
      </c>
      <c r="H10" s="948">
        <f>①物件情報入力シート!I35</f>
        <v/>
      </c>
      <c r="I10" s="949" t="n"/>
      <c r="J10" s="38" t="inlineStr">
        <is>
          <t>年間管理費</t>
        </is>
      </c>
      <c r="K10" s="945" t="n">
        <v>0</v>
      </c>
      <c r="M10" s="15" t="n"/>
      <c r="N10" s="15" t="n"/>
      <c r="O10" s="950" t="n"/>
      <c r="P10" s="15" t="n"/>
      <c r="Q10" s="15" t="n"/>
      <c r="R10" s="15" t="n"/>
    </row>
    <row r="11" ht="14" customFormat="1" customHeight="1" s="34" thickBot="1">
      <c r="A11" s="58" t="inlineStr">
        <is>
          <t>延床面積</t>
        </is>
      </c>
      <c r="B11" s="951">
        <f>①物件情報入力シート!H18</f>
        <v/>
      </c>
      <c r="C11" s="952">
        <f>①物件情報入力シート!F18</f>
        <v/>
      </c>
      <c r="D11" s="61" t="n"/>
      <c r="E11" s="62" t="n"/>
      <c r="G11" s="63" t="inlineStr">
        <is>
          <t>AI査定より</t>
        </is>
      </c>
      <c r="H11" s="953">
        <f>①物件情報入力シート!F42</f>
        <v/>
      </c>
      <c r="I11" s="949" t="n"/>
      <c r="J11" s="34" t="inlineStr">
        <is>
          <t>実勢価格係数</t>
        </is>
      </c>
      <c r="K11" s="65" t="n">
        <v>1.5</v>
      </c>
      <c r="M11" s="15" t="n"/>
      <c r="N11" s="15" t="n"/>
      <c r="O11" s="466" t="n"/>
      <c r="P11" s="15" t="n"/>
      <c r="Q11" s="466" t="n"/>
      <c r="R11" s="15" t="n"/>
    </row>
    <row r="12" ht="14" customFormat="1" customHeight="1" s="34">
      <c r="A12" s="66" t="inlineStr">
        <is>
          <t>1階</t>
        </is>
      </c>
      <c r="B12" s="954">
        <f>①物件情報入力シート!C17</f>
        <v/>
      </c>
      <c r="C12" s="68" t="inlineStr">
        <is>
          <t>2階以上</t>
        </is>
      </c>
      <c r="D12" s="954">
        <f>①物件情報入力シート!C18+①物件情報入力シート!C19</f>
        <v/>
      </c>
      <c r="E12" s="62" t="n"/>
      <c r="G12" s="63" t="inlineStr">
        <is>
          <t>月額想定賃料</t>
        </is>
      </c>
      <c r="H12" s="953">
        <f>①物件情報入力シート!F38</f>
        <v/>
      </c>
      <c r="I12" s="949" t="n"/>
      <c r="J12" s="69" t="inlineStr">
        <is>
          <t>土地積算評価</t>
        </is>
      </c>
      <c r="K12" s="224" t="inlineStr">
        <is>
          <t>土地実勢価格</t>
        </is>
      </c>
      <c r="M12" s="15" t="n"/>
      <c r="N12" s="15" t="n"/>
      <c r="O12" s="466" t="n"/>
      <c r="P12" s="15" t="n"/>
      <c r="Q12" s="466" t="n"/>
      <c r="R12" s="15" t="n"/>
    </row>
    <row r="13" ht="14" customFormat="1" customHeight="1" s="34">
      <c r="A13" s="63" t="inlineStr">
        <is>
          <t>用途地域</t>
        </is>
      </c>
      <c r="B13" s="542">
        <f>①物件情報入力シート!C6</f>
        <v/>
      </c>
      <c r="C13" s="955" t="n"/>
      <c r="D13" s="61" t="n"/>
      <c r="E13" s="62" t="n"/>
      <c r="G13" s="63" t="inlineStr">
        <is>
          <t>固定資産税路線価</t>
        </is>
      </c>
      <c r="H13" s="956">
        <f>①物件情報入力シート!C24</f>
        <v/>
      </c>
      <c r="I13" s="949" t="n"/>
      <c r="J13" s="957">
        <f>①物件情報入力シート!I24</f>
        <v/>
      </c>
      <c r="K13" s="958">
        <f>J14/0.8*K11</f>
        <v/>
      </c>
      <c r="M13" s="959" t="n"/>
      <c r="N13" s="468" t="n"/>
    </row>
    <row r="14" ht="14" customFormat="1" customHeight="1" s="34">
      <c r="A14" s="66" t="inlineStr">
        <is>
          <t>建蔽率</t>
        </is>
      </c>
      <c r="B14" s="72">
        <f>①物件情報入力シート!C7</f>
        <v/>
      </c>
      <c r="C14" s="73" t="inlineStr">
        <is>
          <t>現況建蔽率</t>
        </is>
      </c>
      <c r="D14" s="960">
        <f>①物件情報入力シート!F17</f>
        <v/>
      </c>
      <c r="E14" s="75">
        <f>①物件情報入力シート!H17</f>
        <v/>
      </c>
      <c r="G14" s="63" t="inlineStr">
        <is>
          <t xml:space="preserve">相続税路線価　</t>
        </is>
      </c>
      <c r="H14" s="956">
        <f>①物件情報入力シート!E26</f>
        <v/>
      </c>
      <c r="I14" s="949" t="n"/>
      <c r="J14" s="957">
        <f>①物件情報入力シート!I26</f>
        <v/>
      </c>
      <c r="K14" s="230" t="inlineStr">
        <is>
          <t>ビルダー目線</t>
        </is>
      </c>
    </row>
    <row r="15" ht="14" customFormat="1" customHeight="1" s="34">
      <c r="A15" s="66" t="inlineStr">
        <is>
          <t>容積率</t>
        </is>
      </c>
      <c r="B15" s="72">
        <f>①物件情報入力シート!C8</f>
        <v/>
      </c>
      <c r="C15" s="73" t="inlineStr">
        <is>
          <t>現況容積率</t>
        </is>
      </c>
      <c r="D15" s="960">
        <f>①物件情報入力シート!F19</f>
        <v/>
      </c>
      <c r="E15" s="75">
        <f>①物件情報入力シート!H19</f>
        <v/>
      </c>
      <c r="G15" s="63" t="inlineStr">
        <is>
          <t>公示価格</t>
        </is>
      </c>
      <c r="H15" s="956">
        <f>①物件情報入力シート!E28</f>
        <v/>
      </c>
      <c r="I15" s="949" t="n"/>
      <c r="J15" s="961">
        <f>①物件情報入力シート!I28</f>
        <v/>
      </c>
      <c r="K15" s="962">
        <f>K13*0.8</f>
        <v/>
      </c>
    </row>
    <row r="16" ht="14" customFormat="1" customHeight="1" s="34">
      <c r="A16" s="76" t="inlineStr">
        <is>
          <t>築年数</t>
        </is>
      </c>
      <c r="B16" s="77">
        <f>①物件情報入力シート!H14</f>
        <v/>
      </c>
      <c r="C16" s="963" t="n"/>
      <c r="D16" s="61" t="n"/>
      <c r="E16" s="62" t="n"/>
      <c r="F16" s="79" t="n"/>
      <c r="G16" s="964" t="inlineStr">
        <is>
          <t>再調達価格のHP</t>
        </is>
      </c>
      <c r="H16" s="965" t="n"/>
      <c r="I16" s="80" t="n"/>
      <c r="J16" s="226" t="inlineStr">
        <is>
          <t>建物積算価格</t>
        </is>
      </c>
      <c r="K16" s="227" t="inlineStr">
        <is>
          <t>売却価格での利回り</t>
        </is>
      </c>
      <c r="L16" s="54" t="n"/>
    </row>
    <row r="17" ht="14" customFormat="1" customHeight="1" s="34" thickBot="1">
      <c r="A17" s="58" t="inlineStr">
        <is>
          <t>構造・階高</t>
        </is>
      </c>
      <c r="B17" s="81">
        <f>①物件情報入力シート!C14</f>
        <v/>
      </c>
      <c r="C17" s="966">
        <f>①物件情報入力シート!C16</f>
        <v/>
      </c>
      <c r="D17" s="83" t="inlineStr">
        <is>
          <t>間取り</t>
        </is>
      </c>
      <c r="E17" s="84">
        <f>①物件情報入力シート!C15</f>
        <v/>
      </c>
      <c r="G17" s="85" t="inlineStr">
        <is>
          <t>再調達価格</t>
        </is>
      </c>
      <c r="H17" s="967">
        <f>①物件情報入力シート!C30</f>
        <v/>
      </c>
      <c r="I17" s="968" t="n"/>
      <c r="J17" s="969">
        <f>①物件情報入力シート!I30</f>
        <v/>
      </c>
      <c r="K17" s="88">
        <f>H12*12/M22</f>
        <v/>
      </c>
    </row>
    <row r="18" ht="14" customFormat="1" customHeight="1" s="34" thickBot="1">
      <c r="A18" s="89" t="inlineStr">
        <is>
          <t>交通</t>
        </is>
      </c>
      <c r="B18" s="90">
        <f>①物件情報入力シート!E9</f>
        <v/>
      </c>
      <c r="C18" s="91" t="n"/>
      <c r="D18" s="92" t="n"/>
      <c r="E18" s="93" t="n"/>
    </row>
    <row r="19" ht="14" customFormat="1" customHeight="1" s="34" thickBot="1">
      <c r="C19" s="47" t="n"/>
      <c r="E19" s="46" t="n"/>
      <c r="F19" s="46" t="n"/>
      <c r="G19" s="538" t="inlineStr">
        <is>
          <t>積算価格(固定資産税路線価+建物積算価格)</t>
        </is>
      </c>
      <c r="H19" s="970" t="n"/>
      <c r="I19" s="970" t="n"/>
      <c r="J19" s="970" t="n"/>
      <c r="K19" s="971">
        <f>①物件情報入力シート!I32</f>
        <v/>
      </c>
    </row>
    <row r="20" ht="9" customFormat="1" customHeight="1" s="34" thickBot="1">
      <c r="A20" s="38" t="n"/>
      <c r="B20" s="95" t="n"/>
      <c r="D20" s="46" t="n"/>
      <c r="E20" s="46" t="n"/>
      <c r="F20" s="46" t="n"/>
      <c r="G20" s="46" t="n"/>
      <c r="H20" s="96" t="n"/>
      <c r="I20" s="96" t="n"/>
      <c r="J20" s="97" t="n"/>
      <c r="K20" s="949" t="n"/>
    </row>
    <row r="21" ht="16.5" customFormat="1" customHeight="1" s="34">
      <c r="A21" s="499" t="inlineStr">
        <is>
          <t>売上</t>
        </is>
      </c>
      <c r="B21" s="500" t="n"/>
      <c r="C21" s="500" t="n"/>
      <c r="D21" s="500" t="n"/>
      <c r="E21" s="500" t="n"/>
      <c r="F21" s="501" t="n"/>
      <c r="G21" s="502" t="inlineStr">
        <is>
          <t>入金元</t>
        </is>
      </c>
      <c r="H21" s="502" t="inlineStr">
        <is>
          <t>税抜</t>
        </is>
      </c>
      <c r="I21" s="502" t="inlineStr">
        <is>
          <t>消費税</t>
        </is>
      </c>
      <c r="J21" s="972" t="n"/>
      <c r="K21" s="503" t="inlineStr">
        <is>
          <t>入金予定</t>
        </is>
      </c>
      <c r="L21" s="504" t="inlineStr">
        <is>
          <t>チェックリスト</t>
        </is>
      </c>
    </row>
    <row r="22" ht="16.5" customFormat="1" customHeight="1" s="34">
      <c r="A22" s="507" t="inlineStr">
        <is>
          <t>売却費（土地）</t>
        </is>
      </c>
      <c r="B22" s="973">
        <f>B10</f>
        <v/>
      </c>
      <c r="C22" s="509" t="inlineStr">
        <is>
          <t>×</t>
        </is>
      </c>
      <c r="D22" s="974">
        <f>H22/B22</f>
        <v/>
      </c>
      <c r="E22" s="511" t="n">
        <v>1</v>
      </c>
      <c r="F22" s="111" t="n"/>
      <c r="G22" s="136" t="n"/>
      <c r="H22" s="113">
        <f>M22*E22</f>
        <v/>
      </c>
      <c r="I22" s="975" t="inlineStr">
        <is>
          <t>-</t>
        </is>
      </c>
      <c r="J22" s="976" t="n"/>
      <c r="K22" s="977">
        <f>$K$7</f>
        <v/>
      </c>
      <c r="L22" s="512" t="n"/>
      <c r="M22" s="978" t="n">
        <v>35000000</v>
      </c>
    </row>
    <row r="23" ht="16.5" customFormat="1" customHeight="1" s="34">
      <c r="A23" s="507" t="inlineStr">
        <is>
          <t>売却費（建物）</t>
        </is>
      </c>
      <c r="B23" s="979">
        <f>B11</f>
        <v/>
      </c>
      <c r="C23" s="179" t="inlineStr">
        <is>
          <t>×</t>
        </is>
      </c>
      <c r="D23" s="980">
        <f>H23/B23</f>
        <v/>
      </c>
      <c r="E23" s="191">
        <f>1-E22</f>
        <v/>
      </c>
      <c r="F23" s="111" t="n"/>
      <c r="G23" s="136" t="n"/>
      <c r="H23" s="113">
        <f>M22*E23/1.1</f>
        <v/>
      </c>
      <c r="I23" s="981">
        <f>H23*0.1</f>
        <v/>
      </c>
      <c r="J23" s="976" t="n"/>
      <c r="K23" s="982" t="n"/>
      <c r="L23" s="512" t="n"/>
    </row>
    <row r="24" ht="16.5" customFormat="1" customHeight="1" s="34">
      <c r="A24" s="513" t="inlineStr">
        <is>
          <t>固都税精算金</t>
        </is>
      </c>
      <c r="B24" s="115">
        <f>M2-K7</f>
        <v/>
      </c>
      <c r="C24" s="61" t="inlineStr">
        <is>
          <t>日分受領</t>
        </is>
      </c>
      <c r="D24" s="124" t="n"/>
      <c r="E24" s="117" t="n"/>
      <c r="F24" s="111" t="n"/>
      <c r="G24" s="136" t="n"/>
      <c r="H24" s="113">
        <f>K9*B24/365</f>
        <v/>
      </c>
      <c r="I24" s="975" t="inlineStr">
        <is>
          <t>-</t>
        </is>
      </c>
      <c r="J24" s="976" t="n"/>
      <c r="K24" s="982" t="n"/>
      <c r="L24" s="514" t="n"/>
    </row>
    <row r="25" ht="16.5" customFormat="1" customHeight="1" s="34">
      <c r="A25" s="507" t="inlineStr">
        <is>
          <t>管理費精算金</t>
        </is>
      </c>
      <c r="B25" s="115">
        <f>M2-K7</f>
        <v/>
      </c>
      <c r="C25" s="61" t="inlineStr">
        <is>
          <t>日分受領</t>
        </is>
      </c>
      <c r="D25" s="124" t="n"/>
      <c r="E25" s="61" t="n"/>
      <c r="F25" s="111" t="n"/>
      <c r="G25" s="136" t="n"/>
      <c r="H25" s="113">
        <f>K10*B25/365</f>
        <v/>
      </c>
      <c r="I25" s="975" t="inlineStr">
        <is>
          <t>-</t>
        </is>
      </c>
      <c r="J25" s="976" t="n"/>
      <c r="K25" s="983" t="n"/>
      <c r="L25" s="512" t="n"/>
    </row>
    <row r="26" ht="16.5" customFormat="1" customHeight="1" s="34" thickBot="1">
      <c r="A26" s="505" t="inlineStr">
        <is>
          <t>紹介料</t>
        </is>
      </c>
      <c r="B26" s="506" t="inlineStr">
        <is>
          <t>工務店紹介料</t>
        </is>
      </c>
      <c r="C26" s="494" t="n"/>
      <c r="D26" s="495" t="n"/>
      <c r="E26" s="494" t="n"/>
      <c r="F26" s="496" t="n"/>
      <c r="G26" s="497" t="n"/>
      <c r="H26" s="515" t="n"/>
      <c r="I26" s="984">
        <f>H26*0.1</f>
        <v/>
      </c>
      <c r="J26" s="985" t="n"/>
      <c r="K26" s="986" t="n"/>
      <c r="L26" s="498" t="n"/>
    </row>
    <row r="27" ht="16.5" customFormat="1" customHeight="1" s="34" thickBot="1">
      <c r="A27" s="99" t="inlineStr">
        <is>
          <t>原価</t>
        </is>
      </c>
      <c r="B27" s="100" t="n"/>
      <c r="C27" s="100" t="n"/>
      <c r="D27" s="100" t="n"/>
      <c r="E27" s="100" t="n"/>
      <c r="F27" s="101" t="n"/>
      <c r="G27" s="102" t="inlineStr">
        <is>
          <t>支払先</t>
        </is>
      </c>
      <c r="H27" s="102" t="inlineStr">
        <is>
          <t>税抜</t>
        </is>
      </c>
      <c r="I27" s="535" t="n"/>
      <c r="J27" s="101" t="inlineStr">
        <is>
          <t>消費税</t>
        </is>
      </c>
      <c r="K27" s="104" t="inlineStr">
        <is>
          <t>支払予定</t>
        </is>
      </c>
      <c r="L27" s="105" t="inlineStr">
        <is>
          <t>チェックリスト</t>
        </is>
      </c>
    </row>
    <row r="28" ht="16.5" customFormat="1" customHeight="1" s="34">
      <c r="A28" s="488" t="inlineStr">
        <is>
          <t>手付金</t>
        </is>
      </c>
      <c r="B28" s="491" t="inlineStr">
        <is>
          <t>購入金額の</t>
        </is>
      </c>
      <c r="C28" s="493">
        <f>H28/M29</f>
        <v/>
      </c>
      <c r="D28" s="489" t="n"/>
      <c r="E28" s="490" t="n"/>
      <c r="F28" s="108" t="n"/>
      <c r="G28" s="109" t="inlineStr">
        <is>
          <t>売主</t>
        </is>
      </c>
      <c r="H28" s="457" t="n">
        <v>0</v>
      </c>
      <c r="I28" s="987" t="inlineStr">
        <is>
          <t>-</t>
        </is>
      </c>
      <c r="J28" s="988" t="n"/>
      <c r="K28" s="492">
        <f>H6</f>
        <v/>
      </c>
      <c r="L28" s="989" t="n"/>
    </row>
    <row r="29" ht="16.5" customFormat="1" customHeight="1" s="34">
      <c r="A29" s="451" t="inlineStr">
        <is>
          <t>取得費（土地）</t>
        </is>
      </c>
      <c r="B29" s="990">
        <f>B10</f>
        <v/>
      </c>
      <c r="C29" s="34" t="inlineStr">
        <is>
          <t>×</t>
        </is>
      </c>
      <c r="D29" s="991">
        <f>H29/B29</f>
        <v/>
      </c>
      <c r="E29" s="485" t="n">
        <v>1</v>
      </c>
      <c r="F29" s="453" t="n"/>
      <c r="G29" s="486" t="inlineStr">
        <is>
          <t>売主</t>
        </is>
      </c>
      <c r="H29" s="455">
        <f>(M29-H28)*E29</f>
        <v/>
      </c>
      <c r="I29" s="992" t="inlineStr">
        <is>
          <t>-</t>
        </is>
      </c>
      <c r="J29" s="993" t="n"/>
      <c r="K29" s="994">
        <f>$K$6</f>
        <v/>
      </c>
      <c r="L29" s="995" t="n"/>
      <c r="M29" s="996" t="n">
        <v>24000000</v>
      </c>
    </row>
    <row r="30" ht="16.5" customFormat="1" customHeight="1" s="34">
      <c r="A30" s="110" t="inlineStr">
        <is>
          <t>取得費（建物）</t>
        </is>
      </c>
      <c r="B30" s="979">
        <f>B11</f>
        <v/>
      </c>
      <c r="C30" s="179" t="inlineStr">
        <is>
          <t>×</t>
        </is>
      </c>
      <c r="D30" s="980">
        <f>H30/B30</f>
        <v/>
      </c>
      <c r="E30" s="191">
        <f>1-E29</f>
        <v/>
      </c>
      <c r="F30" s="111" t="n"/>
      <c r="G30" s="112" t="inlineStr">
        <is>
          <t>売主</t>
        </is>
      </c>
      <c r="H30" s="113">
        <f>(M29-H28)*E30/1.1</f>
        <v/>
      </c>
      <c r="I30" s="981">
        <f>H30*0.1</f>
        <v/>
      </c>
      <c r="J30" s="976" t="n"/>
      <c r="K30" s="982" t="n"/>
      <c r="L30" s="997" t="n"/>
      <c r="O30" s="471" t="n"/>
    </row>
    <row r="31" ht="16.5" customFormat="1" customHeight="1" s="34">
      <c r="A31" s="114" t="inlineStr">
        <is>
          <t>固都税精算金</t>
        </is>
      </c>
      <c r="B31" s="115">
        <f>M2-K6</f>
        <v/>
      </c>
      <c r="C31" s="61" t="inlineStr">
        <is>
          <t>日分支払い</t>
        </is>
      </c>
      <c r="D31" s="124" t="n"/>
      <c r="E31" s="117" t="n"/>
      <c r="F31" s="111" t="n"/>
      <c r="G31" s="112" t="inlineStr">
        <is>
          <t>売主</t>
        </is>
      </c>
      <c r="H31" s="113">
        <f>K9*B31/365</f>
        <v/>
      </c>
      <c r="I31" s="975" t="inlineStr">
        <is>
          <t>-</t>
        </is>
      </c>
      <c r="J31" s="976" t="n"/>
      <c r="K31" s="982" t="n"/>
      <c r="L31" s="997" t="n"/>
    </row>
    <row r="32" ht="16.5" customFormat="1" customHeight="1" s="34">
      <c r="A32" s="110" t="inlineStr">
        <is>
          <t>管理費精算金</t>
        </is>
      </c>
      <c r="B32" s="115">
        <f>M2-K6</f>
        <v/>
      </c>
      <c r="C32" s="61" t="inlineStr">
        <is>
          <t>日分支払い</t>
        </is>
      </c>
      <c r="D32" s="124" t="n"/>
      <c r="E32" s="61" t="n"/>
      <c r="F32" s="111" t="n"/>
      <c r="G32" s="112" t="inlineStr">
        <is>
          <t>売主</t>
        </is>
      </c>
      <c r="H32" s="113">
        <f>K10*B32/365</f>
        <v/>
      </c>
      <c r="I32" s="975" t="inlineStr">
        <is>
          <t>-</t>
        </is>
      </c>
      <c r="J32" s="976" t="n"/>
      <c r="K32" s="982" t="n"/>
      <c r="L32" s="997" t="inlineStr">
        <is>
          <t>□請求書　□支払（　　/　　）</t>
        </is>
      </c>
    </row>
    <row r="33" ht="16.5" customFormat="1" customHeight="1" s="34">
      <c r="A33" s="110" t="inlineStr">
        <is>
          <t>（買）仲介</t>
        </is>
      </c>
      <c r="B33" s="125" t="inlineStr">
        <is>
          <t>800万円未満の契約は33万円※R6.7.1より※</t>
        </is>
      </c>
      <c r="C33" s="61" t="n"/>
      <c r="D33" s="61" t="n"/>
      <c r="E33" s="61" t="n"/>
      <c r="F33" s="111" t="n"/>
      <c r="G33" s="112" t="inlineStr">
        <is>
          <t>(買)仲介業者</t>
        </is>
      </c>
      <c r="H33" s="113">
        <f>IF(M29&gt;=8000000,M29*0.03+60000,300000)</f>
        <v/>
      </c>
      <c r="I33" s="975">
        <f>H33*0.1</f>
        <v/>
      </c>
      <c r="J33" s="976" t="n"/>
      <c r="K33" s="983" t="n"/>
      <c r="L33" s="997" t="inlineStr">
        <is>
          <t>□請求書　□支払（　　/　　）</t>
        </is>
      </c>
    </row>
    <row r="34" ht="16.5" customFormat="1" customHeight="1" s="34">
      <c r="A34" s="110" t="inlineStr">
        <is>
          <t>立退費</t>
        </is>
      </c>
      <c r="B34" s="126" t="inlineStr">
        <is>
          <t>立退相場</t>
        </is>
      </c>
      <c r="C34" s="124" t="n">
        <v>1000000</v>
      </c>
      <c r="D34" s="127" t="inlineStr">
        <is>
          <t>×</t>
        </is>
      </c>
      <c r="E34" s="998" t="n">
        <v>0</v>
      </c>
      <c r="F34" s="129" t="n"/>
      <c r="G34" s="130" t="n"/>
      <c r="H34" s="181" t="n">
        <v>0</v>
      </c>
      <c r="I34" s="975">
        <f>H34*0.1</f>
        <v/>
      </c>
      <c r="J34" s="976" t="n"/>
      <c r="K34" s="999">
        <f>IF(H34&gt;0,"入力してください!","")</f>
        <v/>
      </c>
      <c r="L34" s="997" t="inlineStr">
        <is>
          <t>□請求書　□支払（　　/　　）</t>
        </is>
      </c>
    </row>
    <row r="35" ht="16.5" customFormat="1" customHeight="1" s="34">
      <c r="A35" s="110" t="inlineStr">
        <is>
          <t>解体費</t>
        </is>
      </c>
      <c r="B35" s="126" t="inlineStr">
        <is>
          <t>解体相場</t>
        </is>
      </c>
      <c r="C35" s="124" t="n"/>
      <c r="D35" s="127" t="inlineStr">
        <is>
          <t>×</t>
        </is>
      </c>
      <c r="E35" s="1000">
        <f>B11</f>
        <v/>
      </c>
      <c r="F35" s="129" t="n"/>
      <c r="G35" s="130" t="n"/>
      <c r="H35" s="181">
        <f>C35*E35</f>
        <v/>
      </c>
      <c r="I35" s="975">
        <f>H35*0.1</f>
        <v/>
      </c>
      <c r="J35" s="976" t="n"/>
      <c r="K35" s="999">
        <f>IF(H35&gt;0,"入力してください!","")</f>
        <v/>
      </c>
      <c r="L35" s="997" t="inlineStr">
        <is>
          <t>□請求書　□支払（　　/　　）</t>
        </is>
      </c>
    </row>
    <row r="36" ht="16.5" customFormat="1" customHeight="1" s="34">
      <c r="A36" s="110" t="inlineStr">
        <is>
          <t>造成費</t>
        </is>
      </c>
      <c r="B36" s="126" t="inlineStr">
        <is>
          <t>造成工事・整地・遺跡発掘</t>
        </is>
      </c>
      <c r="C36" s="61" t="n"/>
      <c r="D36" s="134" t="n"/>
      <c r="E36" s="134" t="n"/>
      <c r="F36" s="135" t="n"/>
      <c r="G36" s="130" t="n"/>
      <c r="H36" s="181" t="n">
        <v>0</v>
      </c>
      <c r="I36" s="975">
        <f>H36*0.1</f>
        <v/>
      </c>
      <c r="J36" s="976" t="n"/>
      <c r="K36" s="999">
        <f>IF(H36&gt;0,"入力してください!","")</f>
        <v/>
      </c>
      <c r="L36" s="997" t="inlineStr">
        <is>
          <t>□請求書　□支払（　　/　　）</t>
        </is>
      </c>
    </row>
    <row r="37" ht="16.5" customFormat="1" customHeight="1" s="34">
      <c r="A37" s="110" t="inlineStr">
        <is>
          <t>開発費</t>
        </is>
      </c>
      <c r="B37" s="126" t="inlineStr">
        <is>
          <t>公共負担金・開発許認可</t>
        </is>
      </c>
      <c r="C37" s="61" t="n"/>
      <c r="D37" s="61" t="n"/>
      <c r="E37" s="61" t="n"/>
      <c r="F37" s="111" t="n"/>
      <c r="G37" s="136" t="n"/>
      <c r="H37" s="181" t="n">
        <v>0</v>
      </c>
      <c r="I37" s="975">
        <f>H37*0.1</f>
        <v/>
      </c>
      <c r="J37" s="976" t="n"/>
      <c r="K37" s="999">
        <f>IF(H37&gt;0,"入力してください!","")</f>
        <v/>
      </c>
      <c r="L37" s="997" t="inlineStr">
        <is>
          <t>□請求書　□支払（　　/　　）</t>
        </is>
      </c>
    </row>
    <row r="38" ht="16.5" customFormat="1" customHeight="1" s="34">
      <c r="A38" s="110" t="inlineStr">
        <is>
          <t>測量費</t>
        </is>
      </c>
      <c r="B38" s="126" t="inlineStr">
        <is>
          <t>ボーリング・各種測量費</t>
        </is>
      </c>
      <c r="C38" s="61" t="n"/>
      <c r="D38" s="61" t="n"/>
      <c r="E38" s="61" t="n"/>
      <c r="F38" s="111" t="n"/>
      <c r="G38" s="136" t="n"/>
      <c r="H38" s="181" t="n">
        <v>0</v>
      </c>
      <c r="I38" s="975">
        <f>H38*0.1</f>
        <v/>
      </c>
      <c r="J38" s="976" t="n"/>
      <c r="K38" s="999">
        <f>IF(H38&gt;0,"入力してください!","")</f>
        <v/>
      </c>
      <c r="L38" s="997" t="inlineStr">
        <is>
          <t>□請求書　□支払（　　/　　）</t>
        </is>
      </c>
    </row>
    <row r="39" ht="16.5" customFormat="1" customHeight="1" s="34">
      <c r="A39" s="110" t="inlineStr">
        <is>
          <t>近隣補償費</t>
        </is>
      </c>
      <c r="B39" s="126" t="inlineStr">
        <is>
          <t>直接補償</t>
        </is>
      </c>
      <c r="C39" s="61" t="n"/>
      <c r="D39" s="61" t="n"/>
      <c r="E39" s="61" t="n"/>
      <c r="F39" s="111" t="n"/>
      <c r="G39" s="136" t="n"/>
      <c r="H39" s="181" t="n">
        <v>0</v>
      </c>
      <c r="I39" s="975">
        <f>H39*0.1</f>
        <v/>
      </c>
      <c r="J39" s="976" t="n"/>
      <c r="K39" s="999">
        <f>IF(H39&gt;0,"入力してください!","")</f>
        <v/>
      </c>
      <c r="L39" s="997" t="inlineStr">
        <is>
          <t>□請求書　□支払（　　/　　）</t>
        </is>
      </c>
    </row>
    <row r="40" ht="16.5" customFormat="1" customHeight="1" s="34">
      <c r="A40" s="110" t="inlineStr">
        <is>
          <t>設計監理</t>
        </is>
      </c>
      <c r="B40" s="126" t="inlineStr">
        <is>
          <t>設計監理委託料</t>
        </is>
      </c>
      <c r="C40" s="61" t="n"/>
      <c r="D40" s="1001" t="n"/>
      <c r="E40" s="1001" t="n"/>
      <c r="F40" s="111" t="n"/>
      <c r="G40" s="136" t="n"/>
      <c r="H40" s="181" t="n">
        <v>0</v>
      </c>
      <c r="I40" s="975">
        <f>H40*0.1</f>
        <v/>
      </c>
      <c r="J40" s="976" t="n"/>
      <c r="K40" s="999">
        <f>IF(H40&gt;0,"入力してください!","")</f>
        <v/>
      </c>
      <c r="L40" s="997" t="inlineStr">
        <is>
          <t>□請求書　□支払（　　/　　）</t>
        </is>
      </c>
    </row>
    <row r="41" ht="16.5" customFormat="1" customHeight="1" s="34">
      <c r="A41" s="110" t="inlineStr">
        <is>
          <t>業務委託</t>
        </is>
      </c>
      <c r="B41" s="126" t="inlineStr">
        <is>
          <t>①近隣業務委託費</t>
        </is>
      </c>
      <c r="C41" s="61" t="n"/>
      <c r="D41" s="61" t="n"/>
      <c r="E41" s="61" t="n"/>
      <c r="F41" s="111" t="n"/>
      <c r="G41" s="136" t="n"/>
      <c r="H41" s="181" t="n">
        <v>0</v>
      </c>
      <c r="I41" s="975">
        <f>H41*0.1</f>
        <v/>
      </c>
      <c r="J41" s="976" t="n"/>
      <c r="K41" s="999">
        <f>IF(H41&gt;0,"入力してください!","")</f>
        <v/>
      </c>
      <c r="L41" s="997" t="inlineStr">
        <is>
          <t>□請求書　□支払（　　/　　）</t>
        </is>
      </c>
    </row>
    <row r="42" ht="16.5" customFormat="1" customHeight="1" s="34">
      <c r="A42" s="110" t="n"/>
      <c r="B42" s="126" t="inlineStr">
        <is>
          <t>②認可取得業務・申請料</t>
        </is>
      </c>
      <c r="C42" s="61" t="n"/>
      <c r="D42" s="61" t="n"/>
      <c r="E42" s="61" t="n"/>
      <c r="F42" s="111" t="n"/>
      <c r="G42" s="136" t="n"/>
      <c r="H42" s="181" t="n">
        <v>0</v>
      </c>
      <c r="I42" s="975">
        <f>H42*0.1</f>
        <v/>
      </c>
      <c r="J42" s="976" t="n"/>
      <c r="K42" s="999">
        <f>IF(H42&gt;0,"入力してください!","")</f>
        <v/>
      </c>
      <c r="L42" s="997" t="inlineStr">
        <is>
          <t>□請求書　□支払（　　/　　）</t>
        </is>
      </c>
    </row>
    <row r="43" ht="16.5" customFormat="1" customHeight="1" s="34">
      <c r="A43" s="110" t="inlineStr">
        <is>
          <t>その他</t>
        </is>
      </c>
      <c r="B43" s="126" t="inlineStr">
        <is>
          <t>残置物撤去費用</t>
        </is>
      </c>
      <c r="C43" s="73" t="n"/>
      <c r="D43" s="138" t="n"/>
      <c r="E43" s="73" t="n"/>
      <c r="F43" s="139" t="n"/>
      <c r="G43" s="136" t="n"/>
      <c r="H43" s="181" t="n">
        <v>0</v>
      </c>
      <c r="I43" s="975">
        <f>H43*0.1</f>
        <v/>
      </c>
      <c r="J43" s="976" t="n"/>
      <c r="K43" s="999">
        <f>IF(H43&gt;0,"入力してください!","")</f>
        <v/>
      </c>
      <c r="L43" s="997" t="inlineStr">
        <is>
          <t>□請求書　□支払（　　/　　）</t>
        </is>
      </c>
    </row>
    <row r="44" ht="16.5" customFormat="1" customHeight="1" s="34">
      <c r="A44" s="110" t="n"/>
      <c r="B44" s="126" t="inlineStr">
        <is>
          <t>クリーニング費用</t>
        </is>
      </c>
      <c r="C44" s="73" t="n"/>
      <c r="D44" s="138" t="n"/>
      <c r="E44" s="73" t="n"/>
      <c r="F44" s="139" t="n"/>
      <c r="G44" s="136" t="n"/>
      <c r="H44" s="131" t="n">
        <v>0</v>
      </c>
      <c r="I44" s="975">
        <f>H44*0.1</f>
        <v/>
      </c>
      <c r="J44" s="976" t="n"/>
      <c r="K44" s="999">
        <f>IF(H44&gt;0,"入力してください!","")</f>
        <v/>
      </c>
      <c r="L44" s="997" t="inlineStr">
        <is>
          <t>□請求書　□支払（　　/　　）</t>
        </is>
      </c>
    </row>
    <row r="45" ht="16.5" customFormat="1" customHeight="1" s="34">
      <c r="A45" s="110" t="n"/>
      <c r="B45" s="126" t="inlineStr">
        <is>
          <t>リフォーム費用</t>
        </is>
      </c>
      <c r="C45" s="73" t="n"/>
      <c r="D45" s="138" t="n"/>
      <c r="E45" s="73" t="n"/>
      <c r="F45" s="139" t="n"/>
      <c r="G45" s="136" t="n"/>
      <c r="H45" s="131" t="n">
        <v>1650000</v>
      </c>
      <c r="I45" s="975">
        <f>H45*0.1</f>
        <v/>
      </c>
      <c r="J45" s="976" t="n"/>
      <c r="K45" s="999">
        <f>IF(H45&gt;0,"入力してください!","")</f>
        <v/>
      </c>
      <c r="L45" s="997" t="inlineStr">
        <is>
          <t>□請求書　□支払（　　/　　）</t>
        </is>
      </c>
    </row>
    <row r="46" ht="16.5" customFormat="1" customHeight="1" s="34">
      <c r="A46" s="110" t="n"/>
      <c r="B46" s="126" t="inlineStr">
        <is>
          <t>業務委託費用</t>
        </is>
      </c>
      <c r="C46" s="141" t="n"/>
      <c r="D46" s="61" t="n"/>
      <c r="E46" s="61" t="n"/>
      <c r="F46" s="111" t="n"/>
      <c r="G46" s="112" t="inlineStr">
        <is>
          <t>(買)仲介業者</t>
        </is>
      </c>
      <c r="H46" s="131" t="n">
        <v>500000</v>
      </c>
      <c r="I46" s="975" t="inlineStr">
        <is>
          <t>-</t>
        </is>
      </c>
      <c r="J46" s="976" t="n"/>
      <c r="K46" s="977">
        <f>$K$6</f>
        <v/>
      </c>
      <c r="L46" s="997" t="inlineStr">
        <is>
          <t>□請求書　□支払（　　/　　）</t>
        </is>
      </c>
    </row>
    <row r="47" ht="16.5" customFormat="1" customHeight="1" s="34" thickBot="1">
      <c r="A47" s="118" t="n"/>
      <c r="B47" s="142" t="inlineStr">
        <is>
          <t>賃貸募集看板</t>
        </is>
      </c>
      <c r="C47" s="91" t="n"/>
      <c r="D47" s="480" t="n"/>
      <c r="E47" s="91" t="n"/>
      <c r="F47" s="119" t="n"/>
      <c r="G47" s="182" t="n"/>
      <c r="H47" s="183" t="n"/>
      <c r="I47" s="1002">
        <f>H47*0.1</f>
        <v/>
      </c>
      <c r="J47" s="1003" t="n"/>
      <c r="K47" s="1004">
        <f>IF(H47&gt;0,"入力してください!","")</f>
        <v/>
      </c>
      <c r="L47" s="1005" t="inlineStr">
        <is>
          <t>□請求書　□支払（　　/　　）</t>
        </is>
      </c>
    </row>
    <row r="48" ht="16.5" customFormat="1" customHeight="1" s="34" thickBot="1">
      <c r="A48" s="99" t="inlineStr">
        <is>
          <t>費用</t>
        </is>
      </c>
      <c r="B48" s="100" t="n"/>
      <c r="C48" s="100" t="n"/>
      <c r="D48" s="100" t="n"/>
      <c r="E48" s="100" t="n"/>
      <c r="F48" s="101" t="n"/>
      <c r="G48" s="145" t="n"/>
      <c r="H48" s="102" t="inlineStr">
        <is>
          <t>税抜</t>
        </is>
      </c>
      <c r="I48" s="102" t="inlineStr">
        <is>
          <t>消費税</t>
        </is>
      </c>
      <c r="J48" s="1006" t="n"/>
      <c r="K48" s="146" t="n"/>
      <c r="L48" s="105" t="inlineStr">
        <is>
          <t>チェックリスト</t>
        </is>
      </c>
    </row>
    <row r="49" ht="16.5" customFormat="1" customHeight="1" s="34">
      <c r="A49" s="106" t="inlineStr">
        <is>
          <t>管理費</t>
        </is>
      </c>
      <c r="B49" s="147" t="n"/>
      <c r="C49" s="107" t="n"/>
      <c r="D49" s="107" t="n"/>
      <c r="E49" s="107" t="n"/>
      <c r="F49" s="108" t="n"/>
      <c r="G49" s="188" t="n"/>
      <c r="H49" s="185" t="n">
        <v>0</v>
      </c>
      <c r="I49" s="987">
        <f>H49*0.1</f>
        <v/>
      </c>
      <c r="J49" s="988" t="n"/>
      <c r="K49" s="186">
        <f>IF(H49&gt;0,"入力してください!","")</f>
        <v/>
      </c>
      <c r="L49" s="989" t="inlineStr">
        <is>
          <t>□請求書　□支払（　　/　　）</t>
        </is>
      </c>
    </row>
    <row r="50" ht="16.5" customFormat="1" customHeight="1" s="34">
      <c r="A50" s="110" t="inlineStr">
        <is>
          <t>火災保険</t>
        </is>
      </c>
      <c r="B50" s="126" t="n"/>
      <c r="C50" s="61" t="n"/>
      <c r="D50" s="61" t="n"/>
      <c r="E50" s="61" t="n"/>
      <c r="F50" s="111" t="n"/>
      <c r="G50" s="136" t="n"/>
      <c r="H50" s="131" t="n">
        <v>0</v>
      </c>
      <c r="I50" s="975" t="inlineStr">
        <is>
          <t>-</t>
        </is>
      </c>
      <c r="J50" s="976" t="n"/>
      <c r="K50" s="187">
        <f>IF(H50&gt;0,"入力してください!","")</f>
        <v/>
      </c>
      <c r="L50" s="997" t="inlineStr">
        <is>
          <t>□請求書　□支払（　　/　　）</t>
        </is>
      </c>
    </row>
    <row r="51" ht="16.5" customFormat="1" customHeight="1" s="34">
      <c r="A51" s="110" t="inlineStr">
        <is>
          <t>不動産取得税</t>
        </is>
      </c>
      <c r="B51" s="126" t="inlineStr">
        <is>
          <t>土地（1/2*3%）</t>
        </is>
      </c>
      <c r="C51" s="124">
        <f>J13/2*0.03+10000</f>
        <v/>
      </c>
      <c r="D51" s="61" t="inlineStr">
        <is>
          <t>建物（3%）</t>
        </is>
      </c>
      <c r="E51" s="61">
        <f>J17*0.03+5000</f>
        <v/>
      </c>
      <c r="F51" s="148" t="n"/>
      <c r="G51" s="136" t="n"/>
      <c r="H51" s="131">
        <f>C51+E51</f>
        <v/>
      </c>
      <c r="I51" s="975" t="inlineStr">
        <is>
          <t>-</t>
        </is>
      </c>
      <c r="J51" s="976" t="n"/>
      <c r="K51" s="977">
        <f>K6+180</f>
        <v/>
      </c>
      <c r="L51" s="997" t="inlineStr">
        <is>
          <t>□請求書　□支払（　　/　　）</t>
        </is>
      </c>
    </row>
    <row r="52" ht="16.5" customFormat="1" customHeight="1" s="34">
      <c r="A52" s="110" t="inlineStr">
        <is>
          <t>（買）移転登記</t>
        </is>
      </c>
      <c r="B52" s="149" t="n"/>
      <c r="C52" s="61" t="n"/>
      <c r="D52" s="124" t="n"/>
      <c r="E52" s="124" t="n"/>
      <c r="F52" s="111" t="n"/>
      <c r="G52" s="189" t="inlineStr">
        <is>
          <t>公道事務所</t>
        </is>
      </c>
      <c r="H52" s="131" t="n">
        <v>20000</v>
      </c>
      <c r="I52" s="975">
        <f>H52*0.1</f>
        <v/>
      </c>
      <c r="J52" s="976" t="n"/>
      <c r="K52" s="977">
        <f>K6</f>
        <v/>
      </c>
      <c r="L52" s="997" t="inlineStr">
        <is>
          <t>□請求書　□支払（　　/　　）</t>
        </is>
      </c>
    </row>
    <row r="53" ht="16.5" customFormat="1" customHeight="1" s="34">
      <c r="A53" s="150" t="inlineStr">
        <is>
          <t>（買）登録免許税</t>
        </is>
      </c>
      <c r="B53" s="126" t="inlineStr">
        <is>
          <t>土地（1.5%）</t>
        </is>
      </c>
      <c r="C53" s="124">
        <f>J13*0.015</f>
        <v/>
      </c>
      <c r="D53" s="61" t="inlineStr">
        <is>
          <t>建物（2%）</t>
        </is>
      </c>
      <c r="E53" s="61">
        <f>J17*0.02</f>
        <v/>
      </c>
      <c r="F53" s="148" t="n"/>
      <c r="G53" s="136" t="n"/>
      <c r="H53" s="131">
        <f>C53+E53</f>
        <v/>
      </c>
      <c r="I53" s="975" t="inlineStr">
        <is>
          <t>-</t>
        </is>
      </c>
      <c r="J53" s="976" t="n"/>
      <c r="K53" s="977">
        <f>K6</f>
        <v/>
      </c>
      <c r="L53" s="997" t="inlineStr">
        <is>
          <t>□請求書　□支払（　　/　　）</t>
        </is>
      </c>
    </row>
    <row r="54" ht="16.5" customFormat="1" customHeight="1" s="34">
      <c r="A54" s="110" t="inlineStr">
        <is>
          <t>（買）根抵当設定</t>
        </is>
      </c>
      <c r="B54" s="126" t="n"/>
      <c r="C54" s="124" t="n"/>
      <c r="D54" s="61" t="n"/>
      <c r="E54" s="61" t="n"/>
      <c r="F54" s="148" t="n"/>
      <c r="G54" s="136" t="n"/>
      <c r="H54" s="131" t="n">
        <v>0</v>
      </c>
      <c r="I54" s="975" t="inlineStr">
        <is>
          <t>-</t>
        </is>
      </c>
      <c r="J54" s="976" t="n"/>
      <c r="K54" s="999">
        <f>IF(H54&gt;0,"入力してください!","")</f>
        <v/>
      </c>
      <c r="L54" s="997" t="inlineStr">
        <is>
          <t>□請求書　□支払（　　/　　）</t>
        </is>
      </c>
    </row>
    <row r="55" ht="16.5" customFormat="1" customHeight="1" s="34">
      <c r="A55" s="150" t="inlineStr">
        <is>
          <t>（買）諸経費</t>
        </is>
      </c>
      <c r="B55" s="149" t="n"/>
      <c r="C55" s="124" t="n"/>
      <c r="D55" s="61" t="n"/>
      <c r="E55" s="61" t="n"/>
      <c r="F55" s="148" t="n"/>
      <c r="G55" s="136" t="n"/>
      <c r="H55" s="131" t="n">
        <v>0</v>
      </c>
      <c r="I55" s="975" t="inlineStr">
        <is>
          <t>-</t>
        </is>
      </c>
      <c r="J55" s="976" t="n"/>
      <c r="K55" s="999">
        <f>IF(H55&gt;0,"入力してください!","")</f>
        <v/>
      </c>
      <c r="L55" s="997" t="inlineStr">
        <is>
          <t>□請求書　□支払（　　/　　）</t>
        </is>
      </c>
    </row>
    <row r="56" ht="16.5" customFormat="1" customHeight="1" s="34">
      <c r="A56" s="110" t="inlineStr">
        <is>
          <t>（売）抹消</t>
        </is>
      </c>
      <c r="B56" s="126" t="n"/>
      <c r="C56" s="61" t="n"/>
      <c r="D56" s="61" t="n"/>
      <c r="E56" s="61" t="n"/>
      <c r="F56" s="111" t="n"/>
      <c r="G56" s="136" t="n"/>
      <c r="H56" s="131" t="n">
        <v>0</v>
      </c>
      <c r="I56" s="975" t="inlineStr">
        <is>
          <t>-</t>
        </is>
      </c>
      <c r="J56" s="976" t="n"/>
      <c r="K56" s="999">
        <f>IF(H56&gt;0,"入力してください!","")</f>
        <v/>
      </c>
      <c r="L56" s="997" t="inlineStr">
        <is>
          <t>□請求書　□支払（　　/　　）</t>
        </is>
      </c>
    </row>
    <row r="57" ht="16.5" customHeight="1">
      <c r="A57" s="110" t="inlineStr">
        <is>
          <t>（売）仲介</t>
        </is>
      </c>
      <c r="B57" s="125" t="inlineStr">
        <is>
          <t>800万円未満の契約は33万円※R6.7.1より※</t>
        </is>
      </c>
      <c r="C57" s="117" t="n"/>
      <c r="D57" s="61" t="n"/>
      <c r="E57" s="61" t="n"/>
      <c r="F57" s="111" t="n"/>
      <c r="G57" s="112" t="inlineStr">
        <is>
          <t>(売)仲介業者</t>
        </is>
      </c>
      <c r="H57" s="131" t="n">
        <v>1110000</v>
      </c>
      <c r="I57" s="975">
        <f>H57*0.1</f>
        <v/>
      </c>
      <c r="J57" s="976" t="n"/>
      <c r="K57" s="977">
        <f>$K$7</f>
        <v/>
      </c>
      <c r="L57" s="997" t="inlineStr">
        <is>
          <t>□請求書　□支払（　　/　　）</t>
        </is>
      </c>
      <c r="M57" s="34" t="n"/>
    </row>
    <row r="58" ht="16.5" customHeight="1">
      <c r="A58" s="110" t="inlineStr">
        <is>
          <t>（買）収入印紙</t>
        </is>
      </c>
      <c r="B58" s="126" t="n"/>
      <c r="C58" s="61" t="n"/>
      <c r="D58" s="61" t="n"/>
      <c r="E58" s="61" t="n"/>
      <c r="F58" s="111" t="n"/>
      <c r="G58" s="112" t="n"/>
      <c r="H58" s="151" t="n"/>
      <c r="I58" s="975" t="inlineStr">
        <is>
          <t>-</t>
        </is>
      </c>
      <c r="J58" s="976" t="n"/>
      <c r="K58" s="999">
        <f>IF(H58&gt;0,"入力してください!","")</f>
        <v/>
      </c>
      <c r="L58" s="997" t="inlineStr">
        <is>
          <t>□請求書　□支払（　　/　　）</t>
        </is>
      </c>
    </row>
    <row r="59" ht="16.5" customHeight="1">
      <c r="A59" s="110" t="inlineStr">
        <is>
          <t>（売）収入印紙</t>
        </is>
      </c>
      <c r="B59" s="126" t="n"/>
      <c r="C59" s="61" t="n"/>
      <c r="D59" s="61" t="n"/>
      <c r="E59" s="61" t="n"/>
      <c r="F59" s="111" t="n"/>
      <c r="G59" s="112" t="n"/>
      <c r="H59" s="151" t="n"/>
      <c r="I59" s="975" t="inlineStr">
        <is>
          <t>-</t>
        </is>
      </c>
      <c r="J59" s="976" t="n"/>
      <c r="K59" s="999">
        <f>IF(H59&gt;0,"入力してください!","")</f>
        <v/>
      </c>
      <c r="L59" s="997" t="inlineStr">
        <is>
          <t>□請求書　□支払（　　/　　）</t>
        </is>
      </c>
    </row>
    <row r="60" ht="16.5" customHeight="1">
      <c r="A60" s="110" t="inlineStr">
        <is>
          <t>媒体・MR</t>
        </is>
      </c>
      <c r="B60" s="152" t="n"/>
      <c r="C60" s="61" t="n"/>
      <c r="D60" s="61" t="n"/>
      <c r="E60" s="61" t="n"/>
      <c r="F60" s="111" t="n"/>
      <c r="G60" s="136" t="n"/>
      <c r="H60" s="131" t="n">
        <v>0</v>
      </c>
      <c r="I60" s="975">
        <f>H60*0.1</f>
        <v/>
      </c>
      <c r="J60" s="976" t="n"/>
      <c r="K60" s="999">
        <f>IF(H60&gt;0,"入力してください!","")</f>
        <v/>
      </c>
      <c r="L60" s="997" t="inlineStr">
        <is>
          <t>□請求書　□支払（　　/　　）</t>
        </is>
      </c>
    </row>
    <row r="61" ht="16.5" customHeight="1">
      <c r="A61" s="153" t="inlineStr">
        <is>
          <t>販売促進費</t>
        </is>
      </c>
      <c r="B61" s="152" t="n"/>
      <c r="C61" s="61" t="n"/>
      <c r="D61" s="61" t="n"/>
      <c r="E61" s="61" t="n"/>
      <c r="F61" s="111" t="n"/>
      <c r="G61" s="136" t="n"/>
      <c r="H61" s="131" t="n">
        <v>0</v>
      </c>
      <c r="I61" s="975">
        <f>H61*0.1</f>
        <v/>
      </c>
      <c r="J61" s="976" t="n"/>
      <c r="K61" s="999">
        <f>IF(H61&gt;0,"入力してください!","")</f>
        <v/>
      </c>
      <c r="L61" s="997" t="inlineStr">
        <is>
          <t>□請求書　□支払（　　/　　）</t>
        </is>
      </c>
    </row>
    <row r="62" ht="16.5" customHeight="1">
      <c r="A62" s="153" t="inlineStr">
        <is>
          <t>振込手数料</t>
        </is>
      </c>
      <c r="B62" s="152" t="n"/>
      <c r="C62" s="61" t="n"/>
      <c r="D62" s="61" t="n"/>
      <c r="E62" s="61" t="n"/>
      <c r="F62" s="111" t="n"/>
      <c r="G62" s="136" t="n"/>
      <c r="H62" s="131" t="n">
        <v>0</v>
      </c>
      <c r="I62" s="975">
        <f>H62*0.1</f>
        <v/>
      </c>
      <c r="J62" s="976" t="n"/>
      <c r="K62" s="999">
        <f>IF(H62&gt;0,"入力してください!","")</f>
        <v/>
      </c>
      <c r="L62" s="997" t="inlineStr">
        <is>
          <t>□請求書　□支払（　　/　　）</t>
        </is>
      </c>
    </row>
    <row r="63" ht="16.5" customHeight="1" thickBot="1">
      <c r="A63" s="118" t="inlineStr">
        <is>
          <t>その他</t>
        </is>
      </c>
      <c r="B63" s="154" t="n"/>
      <c r="C63" s="91" t="n"/>
      <c r="D63" s="155" t="n"/>
      <c r="E63" s="155" t="n"/>
      <c r="F63" s="156" t="n"/>
      <c r="G63" s="190" t="n"/>
      <c r="H63" s="183" t="n">
        <v>0</v>
      </c>
      <c r="I63" s="1002">
        <f>H63*0.1</f>
        <v/>
      </c>
      <c r="J63" s="1003" t="n"/>
      <c r="K63" s="999">
        <f>IF(H63&gt;0,"入力してください!","")</f>
        <v/>
      </c>
      <c r="L63" s="1005" t="inlineStr">
        <is>
          <t>□請求書　□支払（　　/　　）</t>
        </is>
      </c>
    </row>
    <row r="64" ht="16.5" customHeight="1" thickBot="1">
      <c r="A64" s="99" t="inlineStr">
        <is>
          <t>調達コスト</t>
        </is>
      </c>
      <c r="B64" s="100" t="n"/>
      <c r="C64" s="100" t="n"/>
      <c r="D64" s="100" t="n"/>
      <c r="E64" s="100" t="n"/>
      <c r="F64" s="101" t="n"/>
      <c r="G64" s="145" t="n"/>
      <c r="H64" s="157" t="inlineStr">
        <is>
          <t>.</t>
        </is>
      </c>
      <c r="I64" s="146" t="n"/>
      <c r="J64" s="1006" t="n"/>
      <c r="K64" s="146" t="n"/>
      <c r="L64" s="105" t="inlineStr">
        <is>
          <t>チェックリスト</t>
        </is>
      </c>
    </row>
    <row r="65" ht="16.5" customHeight="1">
      <c r="A65" s="106" t="inlineStr">
        <is>
          <t>融資情報</t>
        </is>
      </c>
      <c r="B65" s="460" t="inlineStr">
        <is>
          <t>融資対象</t>
        </is>
      </c>
      <c r="C65" s="1007" t="inlineStr">
        <is>
          <t>物件価格、解体費、測量費</t>
        </is>
      </c>
      <c r="D65" s="475" t="n"/>
      <c r="E65" s="1008" t="n"/>
      <c r="F65" s="459" t="n"/>
      <c r="G65" s="457" t="inlineStr">
        <is>
          <t>日本モーゲージ(MSJ買取再販)</t>
        </is>
      </c>
      <c r="H65" s="457" t="n">
        <v>25200000</v>
      </c>
      <c r="I65" s="987" t="n"/>
      <c r="J65" s="988" t="n"/>
      <c r="K65" s="1009" t="n"/>
      <c r="L65" s="1010" t="n"/>
    </row>
    <row r="66" ht="16.5" customHeight="1">
      <c r="A66" s="451" t="inlineStr">
        <is>
          <t>金利</t>
        </is>
      </c>
      <c r="B66" s="461" t="inlineStr">
        <is>
          <t>金利</t>
        </is>
      </c>
      <c r="C66" s="452" t="n">
        <v>0.02875</v>
      </c>
      <c r="D66" s="44" t="inlineStr">
        <is>
          <t>融資期間</t>
        </is>
      </c>
      <c r="E66" s="1011" t="n">
        <v>180</v>
      </c>
      <c r="F66" s="453" t="n"/>
      <c r="G66" s="454" t="n"/>
      <c r="H66" s="455" t="n">
        <v>359272</v>
      </c>
      <c r="I66" s="992" t="n"/>
      <c r="J66" s="993" t="n"/>
      <c r="K66" s="994" t="n"/>
      <c r="L66" s="1012" t="n"/>
    </row>
    <row r="67" ht="16.5" customHeight="1" thickBot="1">
      <c r="A67" s="118" t="inlineStr">
        <is>
          <t>手数料(ﾉﾝﾊﾞﾝｸのみ)</t>
        </is>
      </c>
      <c r="B67" s="1013" t="inlineStr">
        <is>
          <t>売却時手数料</t>
        </is>
      </c>
      <c r="C67" s="160" t="n">
        <v>0.02</v>
      </c>
      <c r="D67" s="161" t="n"/>
      <c r="E67" s="161" t="n"/>
      <c r="F67" s="119" t="n"/>
      <c r="G67" s="120" t="n"/>
      <c r="H67" s="121" t="n">
        <v>609840</v>
      </c>
      <c r="I67" s="1002" t="n"/>
      <c r="J67" s="1003" t="n"/>
      <c r="K67" s="1014" t="n"/>
      <c r="L67" s="1015" t="n"/>
    </row>
    <row r="68" ht="16.5" customHeight="1" thickBot="1">
      <c r="A68" s="38" t="n"/>
      <c r="B68" s="34" t="n"/>
      <c r="C68" s="34" t="n"/>
      <c r="D68" s="34" t="n"/>
      <c r="E68" s="34" t="n"/>
      <c r="F68" s="34" t="n"/>
      <c r="G68" s="34" t="n"/>
      <c r="H68" s="163" t="n"/>
      <c r="I68" s="528" t="n"/>
      <c r="J68" s="939" t="n"/>
      <c r="K68" s="34" t="n"/>
    </row>
    <row r="69" ht="16.5" customHeight="1">
      <c r="A69" s="164" t="inlineStr">
        <is>
          <t>■備考・前回からの変更点等</t>
        </is>
      </c>
      <c r="B69" s="165" t="n"/>
      <c r="C69" s="165" t="n"/>
      <c r="D69" s="166" t="n"/>
      <c r="E69" s="34" t="n"/>
      <c r="F69" s="34" t="n"/>
      <c r="G69" s="167" t="inlineStr">
        <is>
          <t>売上(税込)</t>
        </is>
      </c>
      <c r="H69" s="193">
        <f>SUM(H22:J26)</f>
        <v/>
      </c>
      <c r="I69" s="1016" t="n"/>
      <c r="J69" s="939" t="n"/>
      <c r="K69" s="521" t="n"/>
      <c r="L69" s="939" t="n"/>
      <c r="M69" s="472" t="n"/>
    </row>
    <row r="70" ht="16.5" customHeight="1">
      <c r="A70" s="168" t="inlineStr">
        <is>
          <t>【過去・当初融資】辻堂東海岸 査定 売却3500万/取得2400万/リフォーム181.5万税込/融資2520万</t>
        </is>
      </c>
      <c r="B70" s="34" t="n"/>
      <c r="C70" s="34" t="n"/>
      <c r="D70" s="169" t="n"/>
      <c r="E70" s="34" t="n"/>
      <c r="F70" s="34" t="n"/>
      <c r="G70" s="170" t="inlineStr">
        <is>
          <t>原価(税込)</t>
        </is>
      </c>
      <c r="H70" s="194">
        <f>SUM(H28:J47)</f>
        <v/>
      </c>
      <c r="I70" s="1016" t="n"/>
      <c r="J70" s="939" t="n"/>
      <c r="K70" s="939" t="n"/>
      <c r="L70" s="939" t="n"/>
    </row>
    <row r="71" ht="16.5" customHeight="1" thickBot="1">
      <c r="A71" s="168" t="n"/>
      <c r="B71" s="34" t="n"/>
      <c r="C71" s="34" t="n"/>
      <c r="D71" s="169" t="n"/>
      <c r="E71" s="34" t="n"/>
      <c r="F71" s="34" t="n"/>
      <c r="G71" s="171" t="inlineStr">
        <is>
          <t>費用(税込)</t>
        </is>
      </c>
      <c r="H71" s="195">
        <f>SUM(H49:J63)+SUM(H66:H67)</f>
        <v/>
      </c>
      <c r="I71" s="1016" t="n"/>
      <c r="J71" s="939" t="n"/>
      <c r="K71" s="939" t="n"/>
      <c r="L71" s="939" t="n"/>
      <c r="M71" s="481" t="n">
        <v>0.5</v>
      </c>
    </row>
    <row r="72" ht="16.5" customHeight="1" thickTop="1">
      <c r="A72" s="168" t="n"/>
      <c r="B72" s="34" t="n"/>
      <c r="C72" s="34" t="n"/>
      <c r="D72" s="169" t="n"/>
      <c r="E72" s="34" t="n"/>
      <c r="F72" s="34" t="n"/>
      <c r="G72" s="172" t="inlineStr">
        <is>
          <t>粗利益</t>
        </is>
      </c>
      <c r="H72" s="196">
        <f>H69-H70-H71</f>
        <v/>
      </c>
      <c r="I72" s="526" t="n"/>
      <c r="J72" s="939" t="n"/>
      <c r="K72" s="522" t="n"/>
      <c r="L72" s="939" t="n"/>
    </row>
    <row r="73" ht="16.5" customHeight="1">
      <c r="A73" s="168" t="n"/>
      <c r="B73" s="34" t="n"/>
      <c r="C73" s="34" t="n"/>
      <c r="D73" s="169" t="n"/>
      <c r="E73" s="34" t="n"/>
      <c r="F73" s="34" t="n"/>
      <c r="G73" s="234" t="inlineStr">
        <is>
          <t>業務委託料</t>
        </is>
      </c>
      <c r="H73" s="233">
        <f>H72*M71</f>
        <v/>
      </c>
      <c r="I73" s="525" t="n"/>
      <c r="J73" s="939" t="n"/>
      <c r="K73" s="939" t="n"/>
      <c r="L73" s="939" t="n"/>
    </row>
    <row r="74" ht="16.5" customHeight="1" thickBot="1">
      <c r="A74" s="174" t="n"/>
      <c r="B74" s="175" t="n"/>
      <c r="C74" s="175" t="n"/>
      <c r="D74" s="176" t="n"/>
      <c r="E74" s="34" t="n"/>
      <c r="F74" s="34" t="n"/>
      <c r="G74" s="177" t="inlineStr">
        <is>
          <t>粗利率</t>
        </is>
      </c>
      <c r="H74" s="232">
        <f>H72/H69</f>
        <v/>
      </c>
      <c r="I74" s="525" t="n"/>
      <c r="J74" s="525" t="n"/>
      <c r="K74" s="522" t="n"/>
      <c r="L74" s="522" t="n"/>
    </row>
    <row r="75" ht="16.5" customHeight="1">
      <c r="A75" s="38" t="n"/>
      <c r="B75" s="34" t="n"/>
      <c r="C75" s="34" t="n"/>
      <c r="D75" s="34" t="n"/>
      <c r="E75" s="34" t="n"/>
      <c r="F75" s="34" t="n"/>
      <c r="G75" s="34" t="n"/>
      <c r="H75" s="34" t="n"/>
      <c r="I75" s="34" t="n"/>
      <c r="K75" s="34" t="n"/>
    </row>
    <row r="76" ht="16.5" customHeight="1">
      <c r="A76" s="31" t="n"/>
      <c r="B76" s="34" t="n"/>
      <c r="C76" s="34" t="n"/>
      <c r="D76" s="34" t="n"/>
      <c r="E76" s="541" t="n"/>
    </row>
    <row r="77" ht="16.5" customHeight="1">
      <c r="A77" s="38" t="n"/>
      <c r="B77" s="34" t="n"/>
      <c r="C77" s="34" t="n"/>
      <c r="D77" s="34" t="n"/>
      <c r="E77" s="541" t="n"/>
    </row>
    <row r="79" ht="16.5" customHeight="1">
      <c r="B79" s="541" t="n"/>
      <c r="C79" s="541" t="n"/>
      <c r="D79" s="541" t="n"/>
      <c r="E79" s="541" t="n"/>
      <c r="F79" s="541" t="n"/>
    </row>
    <row r="80" ht="16.5" customHeight="1">
      <c r="B80" s="541" t="n"/>
      <c r="C80" s="541" t="n"/>
      <c r="D80" s="541" t="n"/>
      <c r="E80" s="541" t="n"/>
      <c r="F80" s="541" t="n"/>
    </row>
    <row r="81" ht="16.5" customHeight="1">
      <c r="B81" s="541" t="n"/>
      <c r="C81" s="541" t="n"/>
      <c r="D81" s="541" t="n"/>
      <c r="E81" s="541" t="n"/>
      <c r="F81" s="541" t="n"/>
    </row>
    <row r="82" ht="16.5" customHeight="1">
      <c r="B82" s="541" t="n"/>
      <c r="C82" s="541" t="n"/>
      <c r="D82" s="541" t="n"/>
      <c r="E82" s="541" t="n"/>
      <c r="F82" s="541" t="n"/>
    </row>
    <row r="83" ht="16.5" customHeight="1">
      <c r="A83" s="540" t="n"/>
      <c r="B83" s="939" t="n"/>
      <c r="C83" s="939" t="n"/>
      <c r="D83" s="939" t="n"/>
      <c r="E83" s="939" t="n"/>
      <c r="F83" s="939" t="n"/>
    </row>
  </sheetData>
  <mergeCells count="62">
    <mergeCell ref="I30:J30"/>
    <mergeCell ref="I65:J65"/>
    <mergeCell ref="I34:J34"/>
    <mergeCell ref="I46:J46"/>
    <mergeCell ref="I49:J49"/>
    <mergeCell ref="I45:J45"/>
    <mergeCell ref="I36:J36"/>
    <mergeCell ref="I61:J61"/>
    <mergeCell ref="I26:J26"/>
    <mergeCell ref="I70:J70"/>
    <mergeCell ref="I57:J57"/>
    <mergeCell ref="I47:J47"/>
    <mergeCell ref="K22:K25"/>
    <mergeCell ref="I54:J54"/>
    <mergeCell ref="I32:J32"/>
    <mergeCell ref="I25:J25"/>
    <mergeCell ref="I72:J72"/>
    <mergeCell ref="I41:J41"/>
    <mergeCell ref="I37:J37"/>
    <mergeCell ref="I22:J22"/>
    <mergeCell ref="I53:J53"/>
    <mergeCell ref="I66:J66"/>
    <mergeCell ref="I71:J71"/>
    <mergeCell ref="I28:J28"/>
    <mergeCell ref="I56:J56"/>
    <mergeCell ref="I58:J58"/>
    <mergeCell ref="I21:J21"/>
    <mergeCell ref="B13:C13"/>
    <mergeCell ref="I43:J43"/>
    <mergeCell ref="I68:J68"/>
    <mergeCell ref="I55:J55"/>
    <mergeCell ref="I24:J24"/>
    <mergeCell ref="I62:J62"/>
    <mergeCell ref="I42:J42"/>
    <mergeCell ref="I33:J33"/>
    <mergeCell ref="I67:J67"/>
    <mergeCell ref="A83:F83"/>
    <mergeCell ref="I23:J23"/>
    <mergeCell ref="I39:J39"/>
    <mergeCell ref="I52:J52"/>
    <mergeCell ref="I48:J48"/>
    <mergeCell ref="G19:J19"/>
    <mergeCell ref="I64:J64"/>
    <mergeCell ref="I44:J44"/>
    <mergeCell ref="I29:J29"/>
    <mergeCell ref="I35:J35"/>
    <mergeCell ref="I51:J51"/>
    <mergeCell ref="I73:J73"/>
    <mergeCell ref="I38:J38"/>
    <mergeCell ref="G16:H16"/>
    <mergeCell ref="K29:K33"/>
    <mergeCell ref="K69:L71"/>
    <mergeCell ref="I63:J63"/>
    <mergeCell ref="K72:L73"/>
    <mergeCell ref="I59:J59"/>
    <mergeCell ref="I31:J31"/>
    <mergeCell ref="I50:J50"/>
    <mergeCell ref="I69:J69"/>
    <mergeCell ref="G9:H9"/>
    <mergeCell ref="I60:J60"/>
    <mergeCell ref="I40:J40"/>
    <mergeCell ref="A9:E9"/>
  </mergeCells>
  <conditionalFormatting sqref="E14:E15 H20:J20 J9:K9">
    <cfRule type="containsText" priority="2" operator="containsText" dxfId="0" text="NG">
      <formula>NOT(ISERROR(SEARCH("NG",E9)))</formula>
    </cfRule>
  </conditionalFormatting>
  <conditionalFormatting sqref="F16:G16 J12:K12 K14">
    <cfRule type="containsText" priority="1" operator="containsText" dxfId="0" text="NG">
      <formula>NOT(ISERROR(SEARCH("NG",F12)))</formula>
    </cfRule>
  </conditionalFormatting>
  <hyperlinks>
    <hyperlink xmlns:r="http://schemas.openxmlformats.org/officeDocument/2006/relationships" ref="G16" r:id="rId1"/>
  </hyperlinks>
  <pageMargins left="0.2362204724409449" right="0.1574803149606299" top="0.1968503937007874" bottom="0.1968503937007874" header="0" footer="0"/>
  <pageSetup orientation="portrait" paperSize="9" scale="66" cellComments="asDisplayed" horizontalDpi="300" verticalDpi="300"/>
  <legacyDrawing xmlns:r="http://schemas.openxmlformats.org/officeDocument/2006/relationships" r:id="anysvml"/>
</worksheet>
</file>

<file path=xl/worksheets/sheet3.xml><?xml version="1.0" encoding="utf-8"?>
<worksheet xmlns="http://schemas.openxmlformats.org/spreadsheetml/2006/main">
  <sheetPr>
    <tabColor rgb="FFFFFFCC"/>
    <outlinePr summaryBelow="1" summaryRight="1"/>
    <pageSetUpPr fitToPage="1"/>
  </sheetPr>
  <dimension ref="A1:Z12"/>
  <sheetViews>
    <sheetView zoomScale="82" zoomScaleNormal="145" workbookViewId="0">
      <selection activeCell="L9" sqref="L9"/>
    </sheetView>
  </sheetViews>
  <sheetFormatPr baseColWidth="10" defaultColWidth="9" defaultRowHeight="15"/>
  <cols>
    <col width="2.6640625" customWidth="1" style="209" min="1" max="1"/>
    <col width="16.83203125" bestFit="1" customWidth="1" style="209" min="2" max="2"/>
    <col width="12.83203125" customWidth="1" style="209" min="3" max="26"/>
    <col width="9" customWidth="1" style="209" min="27" max="16384"/>
  </cols>
  <sheetData>
    <row r="1" ht="19.5" customHeight="1">
      <c r="A1" s="209" t="inlineStr">
        <is>
          <t>平均賃料相場</t>
        </is>
      </c>
    </row>
    <row r="2" ht="17.25" customHeight="1">
      <c r="B2" s="1017">
        <f>①物件情報入力シート!F38</f>
        <v/>
      </c>
      <c r="C2" s="210" t="inlineStr">
        <is>
          <t>売却・都内</t>
        </is>
      </c>
      <c r="D2" s="210" t="n"/>
      <c r="E2" s="210" t="n"/>
      <c r="F2" s="211" t="inlineStr">
        <is>
          <t>売却・都内：サイケンフ</t>
        </is>
      </c>
      <c r="G2" s="211" t="n"/>
      <c r="H2" s="211" t="n"/>
      <c r="I2" s="211" t="n"/>
      <c r="J2" s="211" t="n"/>
      <c r="K2" s="211" t="n"/>
      <c r="L2" s="211" t="n"/>
    </row>
    <row r="3" ht="17.25" customHeight="1">
      <c r="F3" s="212" t="inlineStr">
        <is>
          <t>売却・16号線内側</t>
        </is>
      </c>
      <c r="G3" s="212" t="n"/>
      <c r="H3" s="212" t="n"/>
      <c r="I3" s="213" t="inlineStr">
        <is>
          <t>売却・16号線内側：サイケンフ</t>
        </is>
      </c>
      <c r="J3" s="213" t="n"/>
      <c r="K3" s="213" t="n"/>
      <c r="L3" s="213" t="n"/>
      <c r="M3" s="213" t="n"/>
      <c r="N3" s="213" t="n"/>
      <c r="O3" s="213" t="n"/>
      <c r="P3" s="213" t="n"/>
    </row>
    <row r="4" ht="17.25" customHeight="1">
      <c r="I4" s="214" t="inlineStr">
        <is>
          <t>売却・16号線外側：サイケンフ</t>
        </is>
      </c>
      <c r="J4" s="214" t="n"/>
      <c r="K4" s="214" t="n"/>
      <c r="L4" s="215" t="inlineStr">
        <is>
          <t>売却・16号線外側：サイケンフ</t>
        </is>
      </c>
      <c r="M4" s="215" t="n"/>
      <c r="N4" s="215" t="n"/>
      <c r="O4" s="215" t="n"/>
      <c r="P4" s="215" t="n"/>
      <c r="Q4" s="215" t="n"/>
      <c r="R4" s="215" t="n"/>
      <c r="S4" s="215" t="n"/>
      <c r="T4" s="215" t="n"/>
      <c r="U4" s="215" t="n"/>
    </row>
    <row r="5" ht="27" customHeight="1">
      <c r="B5" s="216" t="n"/>
      <c r="C5" s="1018" t="n">
        <v>0.07000000000000001</v>
      </c>
      <c r="D5" s="1018" t="n">
        <v>0.08</v>
      </c>
      <c r="E5" s="1018" t="n">
        <v>0.09</v>
      </c>
      <c r="F5" s="1018" t="n">
        <v>0.1</v>
      </c>
      <c r="G5" s="1018" t="n">
        <v>0.11</v>
      </c>
      <c r="H5" s="1019" t="n">
        <v>0.12</v>
      </c>
      <c r="I5" s="1019" t="n">
        <v>0.13</v>
      </c>
      <c r="J5" s="1019" t="n">
        <v>0.14</v>
      </c>
      <c r="K5" s="1019" t="n">
        <v>0.15</v>
      </c>
      <c r="L5" s="1019" t="n">
        <v>0.16</v>
      </c>
      <c r="M5" s="1019" t="n">
        <v>0.17</v>
      </c>
      <c r="N5" s="1019" t="n">
        <v>0.18</v>
      </c>
      <c r="O5" s="1019" t="n">
        <v>0.19</v>
      </c>
      <c r="P5" s="1019" t="n">
        <v>0.2</v>
      </c>
      <c r="Q5" s="1018" t="n">
        <v>0.21</v>
      </c>
      <c r="R5" s="1018" t="n">
        <v>0.22</v>
      </c>
      <c r="S5" s="1018" t="n">
        <v>0.23</v>
      </c>
      <c r="T5" s="1018" t="n">
        <v>0.24</v>
      </c>
      <c r="U5" s="1018" t="n">
        <v>0.25</v>
      </c>
      <c r="V5" s="1018" t="n">
        <v>0.26</v>
      </c>
      <c r="W5" s="1018" t="n">
        <v>0.27</v>
      </c>
      <c r="X5" s="1018" t="n">
        <v>0.28</v>
      </c>
      <c r="Y5" s="1018" t="n">
        <v>0.29</v>
      </c>
      <c r="Z5" s="1018" t="n">
        <v>0.3</v>
      </c>
    </row>
    <row r="6" ht="27" customHeight="1">
      <c r="B6" s="1020">
        <f>B7-1000</f>
        <v/>
      </c>
      <c r="C6" s="217">
        <f>$B6*12/C$5</f>
        <v/>
      </c>
      <c r="D6" s="217">
        <f>$B6*12/D$5</f>
        <v/>
      </c>
      <c r="E6" s="217">
        <f>$B6*12/E$5</f>
        <v/>
      </c>
      <c r="F6" s="217">
        <f>$B6*12/F$5</f>
        <v/>
      </c>
      <c r="G6" s="217">
        <f>$B6*12/G$5</f>
        <v/>
      </c>
      <c r="H6" s="217">
        <f>$B6*12/H$5</f>
        <v/>
      </c>
      <c r="I6" s="217">
        <f>$B6*12/I$5</f>
        <v/>
      </c>
      <c r="J6" s="217">
        <f>$B6*12/J$5</f>
        <v/>
      </c>
      <c r="K6" s="217">
        <f>$B6*12/K$5</f>
        <v/>
      </c>
      <c r="L6" s="217">
        <f>$B6*12/L$5</f>
        <v/>
      </c>
      <c r="M6" s="217">
        <f>$B6*12/M$5</f>
        <v/>
      </c>
      <c r="N6" s="217">
        <f>$B6*12/N$5</f>
        <v/>
      </c>
      <c r="O6" s="217">
        <f>$B6*12/O$5</f>
        <v/>
      </c>
      <c r="P6" s="217">
        <f>$B6*12/P$5</f>
        <v/>
      </c>
      <c r="Q6" s="217">
        <f>$B6*12/Q$5</f>
        <v/>
      </c>
      <c r="R6" s="217">
        <f>$B6*12/R$5</f>
        <v/>
      </c>
      <c r="S6" s="217">
        <f>$B6*12/S$5</f>
        <v/>
      </c>
      <c r="T6" s="217">
        <f>$B6*12/T$5</f>
        <v/>
      </c>
      <c r="U6" s="217">
        <f>$B6*12/U$5</f>
        <v/>
      </c>
      <c r="V6" s="217">
        <f>$B6*12/V$5</f>
        <v/>
      </c>
      <c r="W6" s="217">
        <f>$B6*12/W$5</f>
        <v/>
      </c>
      <c r="X6" s="217">
        <f>$B6*12/X$5</f>
        <v/>
      </c>
      <c r="Y6" s="217">
        <f>$B6*12/Y$5</f>
        <v/>
      </c>
      <c r="Z6" s="217">
        <f>$B6*12/Z$5</f>
        <v/>
      </c>
    </row>
    <row r="7" ht="27" customHeight="1">
      <c r="B7" s="1020">
        <f>B8-1000</f>
        <v/>
      </c>
      <c r="C7" s="217">
        <f>$B7*12/C$5</f>
        <v/>
      </c>
      <c r="D7" s="217">
        <f>$B7*12/D$5</f>
        <v/>
      </c>
      <c r="E7" s="217">
        <f>$B7*12/E$5</f>
        <v/>
      </c>
      <c r="F7" s="217">
        <f>$B7*12/F$5</f>
        <v/>
      </c>
      <c r="G7" s="217">
        <f>$B7*12/G$5</f>
        <v/>
      </c>
      <c r="H7" s="217">
        <f>$B7*12/H$5</f>
        <v/>
      </c>
      <c r="I7" s="217">
        <f>$B7*12/I$5</f>
        <v/>
      </c>
      <c r="J7" s="217">
        <f>$B7*12/J$5</f>
        <v/>
      </c>
      <c r="K7" s="217">
        <f>$B7*12/K$5</f>
        <v/>
      </c>
      <c r="L7" s="217">
        <f>$B7*12/L$5</f>
        <v/>
      </c>
      <c r="M7" s="217">
        <f>$B7*12/M$5</f>
        <v/>
      </c>
      <c r="N7" s="217">
        <f>$B7*12/N$5</f>
        <v/>
      </c>
      <c r="O7" s="217">
        <f>$B7*12/O$5</f>
        <v/>
      </c>
      <c r="P7" s="217">
        <f>$B7*12/P$5</f>
        <v/>
      </c>
      <c r="Q7" s="217">
        <f>$B7*12/Q$5</f>
        <v/>
      </c>
      <c r="R7" s="217">
        <f>$B7*12/R$5</f>
        <v/>
      </c>
      <c r="S7" s="217">
        <f>$B7*12/S$5</f>
        <v/>
      </c>
      <c r="T7" s="217">
        <f>$B7*12/T$5</f>
        <v/>
      </c>
      <c r="U7" s="217">
        <f>$B7*12/U$5</f>
        <v/>
      </c>
      <c r="V7" s="217">
        <f>$B7*12/V$5</f>
        <v/>
      </c>
      <c r="W7" s="217">
        <f>$B7*12/W$5</f>
        <v/>
      </c>
      <c r="X7" s="217">
        <f>$B7*12/X$5</f>
        <v/>
      </c>
      <c r="Y7" s="217">
        <f>$B7*12/Y$5</f>
        <v/>
      </c>
      <c r="Z7" s="217">
        <f>$B7*12/Z$5</f>
        <v/>
      </c>
    </row>
    <row r="8" ht="27" customHeight="1">
      <c r="B8" s="1020">
        <f>B9-1000</f>
        <v/>
      </c>
      <c r="C8" s="217">
        <f>$B8*12/C$5</f>
        <v/>
      </c>
      <c r="D8" s="217">
        <f>$B8*12/D$5</f>
        <v/>
      </c>
      <c r="E8" s="217">
        <f>$B8*12/E$5</f>
        <v/>
      </c>
      <c r="F8" s="217">
        <f>$B8*12/F$5</f>
        <v/>
      </c>
      <c r="G8" s="217">
        <f>$B8*12/G$5</f>
        <v/>
      </c>
      <c r="H8" s="217">
        <f>$B8*12/H$5</f>
        <v/>
      </c>
      <c r="I8" s="217">
        <f>$B8*12/I$5</f>
        <v/>
      </c>
      <c r="J8" s="217">
        <f>$B8*12/J$5</f>
        <v/>
      </c>
      <c r="K8" s="217">
        <f>$B8*12/K$5</f>
        <v/>
      </c>
      <c r="L8" s="217">
        <f>$B8*12/L$5</f>
        <v/>
      </c>
      <c r="M8" s="217">
        <f>$B8*12/M$5</f>
        <v/>
      </c>
      <c r="N8" s="217">
        <f>$B8*12/N$5</f>
        <v/>
      </c>
      <c r="O8" s="217">
        <f>$B8*12/O$5</f>
        <v/>
      </c>
      <c r="P8" s="217">
        <f>$B8*12/P$5</f>
        <v/>
      </c>
      <c r="Q8" s="217">
        <f>$B8*12/Q$5</f>
        <v/>
      </c>
      <c r="R8" s="217">
        <f>$B8*12/R$5</f>
        <v/>
      </c>
      <c r="S8" s="217">
        <f>$B8*12/S$5</f>
        <v/>
      </c>
      <c r="T8" s="217">
        <f>$B8*12/T$5</f>
        <v/>
      </c>
      <c r="U8" s="217">
        <f>$B8*12/U$5</f>
        <v/>
      </c>
      <c r="V8" s="217">
        <f>$B8*12/V$5</f>
        <v/>
      </c>
      <c r="W8" s="217">
        <f>$B8*12/W$5</f>
        <v/>
      </c>
      <c r="X8" s="217">
        <f>$B8*12/X$5</f>
        <v/>
      </c>
      <c r="Y8" s="217">
        <f>$B8*12/Y$5</f>
        <v/>
      </c>
      <c r="Z8" s="217">
        <f>$B8*12/Z$5</f>
        <v/>
      </c>
    </row>
    <row r="9" ht="27" customHeight="1">
      <c r="B9" s="1020">
        <f>B2</f>
        <v/>
      </c>
      <c r="C9" s="217">
        <f>$B9*12/C$5</f>
        <v/>
      </c>
      <c r="D9" s="217">
        <f>$B9*12/D$5</f>
        <v/>
      </c>
      <c r="E9" s="217">
        <f>$B9*12/E$5</f>
        <v/>
      </c>
      <c r="F9" s="217">
        <f>$B9*12/F$5</f>
        <v/>
      </c>
      <c r="G9" s="217">
        <f>$B9*12/G$5</f>
        <v/>
      </c>
      <c r="H9" s="217">
        <f>$B9*12/H$5</f>
        <v/>
      </c>
      <c r="I9" s="217">
        <f>$B9*12/I$5</f>
        <v/>
      </c>
      <c r="J9" s="217">
        <f>$B9*12/J$5</f>
        <v/>
      </c>
      <c r="K9" s="217">
        <f>$B9*12/K$5</f>
        <v/>
      </c>
      <c r="L9" s="217">
        <f>$B9*12/L$5</f>
        <v/>
      </c>
      <c r="M9" s="217">
        <f>$B9*12/M$5</f>
        <v/>
      </c>
      <c r="N9" s="217">
        <f>$B9*12/N$5</f>
        <v/>
      </c>
      <c r="O9" s="217">
        <f>$B9*12/O$5</f>
        <v/>
      </c>
      <c r="P9" s="217">
        <f>$B9*12/P$5</f>
        <v/>
      </c>
      <c r="Q9" s="217">
        <f>$B9*12/Q$5</f>
        <v/>
      </c>
      <c r="R9" s="217">
        <f>$B9*12/R$5</f>
        <v/>
      </c>
      <c r="S9" s="217">
        <f>$B9*12/S$5</f>
        <v/>
      </c>
      <c r="T9" s="217">
        <f>$B9*12/T$5</f>
        <v/>
      </c>
      <c r="U9" s="217">
        <f>$B9*12/U$5</f>
        <v/>
      </c>
      <c r="V9" s="217">
        <f>$B9*12/V$5</f>
        <v/>
      </c>
      <c r="W9" s="217">
        <f>$B9*12/W$5</f>
        <v/>
      </c>
      <c r="X9" s="217">
        <f>$B9*12/X$5</f>
        <v/>
      </c>
      <c r="Y9" s="217">
        <f>$B9*12/Y$5</f>
        <v/>
      </c>
      <c r="Z9" s="217">
        <f>$B9*12/Z$5</f>
        <v/>
      </c>
    </row>
    <row r="10" ht="27" customHeight="1">
      <c r="A10" s="218" t="n"/>
      <c r="B10" s="1020">
        <f>B9+1000</f>
        <v/>
      </c>
      <c r="C10" s="217">
        <f>$B10*12/C$5</f>
        <v/>
      </c>
      <c r="D10" s="217">
        <f>$B10*12/D$5</f>
        <v/>
      </c>
      <c r="E10" s="217">
        <f>$B10*12/E$5</f>
        <v/>
      </c>
      <c r="F10" s="217">
        <f>$B10*12/F$5</f>
        <v/>
      </c>
      <c r="G10" s="217">
        <f>$B10*12/G$5</f>
        <v/>
      </c>
      <c r="H10" s="217">
        <f>$B10*12/H$5</f>
        <v/>
      </c>
      <c r="I10" s="217">
        <f>$B10*12/I$5</f>
        <v/>
      </c>
      <c r="J10" s="217">
        <f>$B10*12/J$5</f>
        <v/>
      </c>
      <c r="K10" s="217">
        <f>$B10*12/K$5</f>
        <v/>
      </c>
      <c r="L10" s="217">
        <f>$B10*12/L$5</f>
        <v/>
      </c>
      <c r="M10" s="217">
        <f>$B10*12/M$5</f>
        <v/>
      </c>
      <c r="N10" s="217">
        <f>$B10*12/N$5</f>
        <v/>
      </c>
      <c r="O10" s="217">
        <f>$B10*12/O$5</f>
        <v/>
      </c>
      <c r="P10" s="217">
        <f>$B10*12/P$5</f>
        <v/>
      </c>
      <c r="Q10" s="217">
        <f>$B10*12/Q$5</f>
        <v/>
      </c>
      <c r="R10" s="217">
        <f>$B10*12/R$5</f>
        <v/>
      </c>
      <c r="S10" s="217">
        <f>$B10*12/S$5</f>
        <v/>
      </c>
      <c r="T10" s="217">
        <f>$B10*12/T$5</f>
        <v/>
      </c>
      <c r="U10" s="217">
        <f>$B10*12/U$5</f>
        <v/>
      </c>
      <c r="V10" s="217">
        <f>$B10*12/V$5</f>
        <v/>
      </c>
      <c r="W10" s="217">
        <f>$B10*12/W$5</f>
        <v/>
      </c>
      <c r="X10" s="217">
        <f>$B10*12/X$5</f>
        <v/>
      </c>
      <c r="Y10" s="217">
        <f>$B10*12/Y$5</f>
        <v/>
      </c>
      <c r="Z10" s="217">
        <f>$B10*12/Z$5</f>
        <v/>
      </c>
    </row>
    <row r="11" ht="27" customHeight="1">
      <c r="A11" s="218" t="n"/>
      <c r="B11" s="1020">
        <f>B10+1000</f>
        <v/>
      </c>
      <c r="C11" s="217">
        <f>$B11*12/C$5</f>
        <v/>
      </c>
      <c r="D11" s="217">
        <f>$B11*12/D$5</f>
        <v/>
      </c>
      <c r="E11" s="217">
        <f>$B11*12/E$5</f>
        <v/>
      </c>
      <c r="F11" s="217">
        <f>$B11*12/F$5</f>
        <v/>
      </c>
      <c r="G11" s="217">
        <f>$B11*12/G$5</f>
        <v/>
      </c>
      <c r="H11" s="217">
        <f>$B11*12/H$5</f>
        <v/>
      </c>
      <c r="I11" s="217">
        <f>$B11*12/I$5</f>
        <v/>
      </c>
      <c r="J11" s="217">
        <f>$B11*12/J$5</f>
        <v/>
      </c>
      <c r="K11" s="217">
        <f>$B11*12/K$5</f>
        <v/>
      </c>
      <c r="L11" s="217">
        <f>$B11*12/L$5</f>
        <v/>
      </c>
      <c r="M11" s="217">
        <f>$B11*12/M$5</f>
        <v/>
      </c>
      <c r="N11" s="217">
        <f>$B11*12/N$5</f>
        <v/>
      </c>
      <c r="O11" s="217">
        <f>$B11*12/O$5</f>
        <v/>
      </c>
      <c r="P11" s="217">
        <f>$B11*12/P$5</f>
        <v/>
      </c>
      <c r="Q11" s="217">
        <f>$B11*12/Q$5</f>
        <v/>
      </c>
      <c r="R11" s="217">
        <f>$B11*12/R$5</f>
        <v/>
      </c>
      <c r="S11" s="217">
        <f>$B11*12/S$5</f>
        <v/>
      </c>
      <c r="T11" s="217">
        <f>$B11*12/T$5</f>
        <v/>
      </c>
      <c r="U11" s="217">
        <f>$B11*12/U$5</f>
        <v/>
      </c>
      <c r="V11" s="217">
        <f>$B11*12/V$5</f>
        <v/>
      </c>
      <c r="W11" s="217">
        <f>$B11*12/W$5</f>
        <v/>
      </c>
      <c r="X11" s="217">
        <f>$B11*12/X$5</f>
        <v/>
      </c>
      <c r="Y11" s="217">
        <f>$B11*12/Y$5</f>
        <v/>
      </c>
      <c r="Z11" s="217">
        <f>$B11*12/Z$5</f>
        <v/>
      </c>
    </row>
    <row r="12" ht="27" customHeight="1">
      <c r="A12" s="218" t="n"/>
      <c r="B12" s="1020">
        <f>B11+1000</f>
        <v/>
      </c>
      <c r="C12" s="217">
        <f>$B12*12/C$5</f>
        <v/>
      </c>
      <c r="D12" s="217">
        <f>$B12*12/D$5</f>
        <v/>
      </c>
      <c r="E12" s="217">
        <f>$B12*12/E$5</f>
        <v/>
      </c>
      <c r="F12" s="217">
        <f>$B12*12/F$5</f>
        <v/>
      </c>
      <c r="G12" s="217">
        <f>$B12*12/G$5</f>
        <v/>
      </c>
      <c r="H12" s="217">
        <f>$B12*12/H$5</f>
        <v/>
      </c>
      <c r="I12" s="217">
        <f>$B12*12/I$5</f>
        <v/>
      </c>
      <c r="J12" s="217">
        <f>$B12*12/J$5</f>
        <v/>
      </c>
      <c r="K12" s="217">
        <f>$B12*12/K$5</f>
        <v/>
      </c>
      <c r="L12" s="217">
        <f>$B12*12/L$5</f>
        <v/>
      </c>
      <c r="M12" s="217">
        <f>$B12*12/M$5</f>
        <v/>
      </c>
      <c r="N12" s="217">
        <f>$B12*12/N$5</f>
        <v/>
      </c>
      <c r="O12" s="217">
        <f>$B12*12/O$5</f>
        <v/>
      </c>
      <c r="P12" s="217">
        <f>$B12*12/P$5</f>
        <v/>
      </c>
      <c r="Q12" s="217">
        <f>$B12*12/Q$5</f>
        <v/>
      </c>
      <c r="R12" s="217">
        <f>$B12*12/R$5</f>
        <v/>
      </c>
      <c r="S12" s="217">
        <f>$B12*12/S$5</f>
        <v/>
      </c>
      <c r="T12" s="217">
        <f>$B12*12/T$5</f>
        <v/>
      </c>
      <c r="U12" s="217">
        <f>$B12*12/U$5</f>
        <v/>
      </c>
      <c r="V12" s="217">
        <f>$B12*12/V$5</f>
        <v/>
      </c>
      <c r="W12" s="217">
        <f>$B12*12/W$5</f>
        <v/>
      </c>
      <c r="X12" s="217">
        <f>$B12*12/X$5</f>
        <v/>
      </c>
      <c r="Y12" s="217">
        <f>$B12*12/Y$5</f>
        <v/>
      </c>
      <c r="Z12" s="217">
        <f>$B12*12/Z$5</f>
        <v/>
      </c>
    </row>
  </sheetData>
  <pageMargins left="0.7" right="0.7" top="0.75" bottom="0.75" header="0.3" footer="0.3"/>
  <pageSetup orientation="landscape" paperSize="9" fitToHeight="0"/>
</worksheet>
</file>

<file path=xl/worksheets/sheet4.xml><?xml version="1.0" encoding="utf-8"?>
<worksheet xmlns="http://schemas.openxmlformats.org/spreadsheetml/2006/main">
  <sheetPr>
    <tabColor theme="7" tint="0.3999755851924192"/>
    <outlinePr summaryBelow="1" summaryRight="1"/>
    <pageSetUpPr fitToPage="1"/>
  </sheetPr>
  <dimension ref="A1:AC52"/>
  <sheetViews>
    <sheetView showGridLines="0" view="pageBreakPreview" topLeftCell="A13" zoomScale="50" zoomScaleNormal="32" workbookViewId="0">
      <selection activeCell="E44" sqref="E44"/>
    </sheetView>
  </sheetViews>
  <sheetFormatPr baseColWidth="10" defaultColWidth="10.83203125" defaultRowHeight="22"/>
  <cols>
    <col width="11.33203125" bestFit="1" customWidth="1" style="335" min="1" max="1"/>
    <col width="15.83203125" customWidth="1" style="335" min="2" max="4"/>
    <col width="25.83203125" customWidth="1" style="335" min="5" max="5"/>
    <col width="15.83203125" customWidth="1" style="335" min="6" max="9"/>
    <col width="20.83203125" customWidth="1" style="335" min="10" max="10"/>
    <col width="15.83203125" customWidth="1" style="335" min="11" max="13"/>
    <col width="25.83203125" customWidth="1" style="335" min="14" max="14"/>
    <col width="15.83203125" customWidth="1" style="335" min="15" max="18"/>
    <col width="20.83203125" customWidth="1" style="335" min="19" max="19"/>
    <col width="10.83203125" customWidth="1" style="335" min="20" max="23"/>
    <col width="62.1640625" bestFit="1" customWidth="1" style="362" min="24" max="24"/>
    <col width="32.6640625" bestFit="1" customWidth="1" style="362" min="25" max="25"/>
    <col width="24.1640625" bestFit="1" customWidth="1" style="362" min="26" max="26"/>
    <col width="23.5" bestFit="1" customWidth="1" style="362" min="27" max="27"/>
    <col width="21" bestFit="1" customWidth="1" style="362" min="28" max="28"/>
    <col width="10.83203125" customWidth="1" style="335" min="29" max="16384"/>
  </cols>
  <sheetData>
    <row r="1" ht="30" customHeight="1">
      <c r="A1" s="363" t="n"/>
      <c r="B1" s="1021" t="inlineStr">
        <is>
          <t>No.XXX</t>
        </is>
      </c>
      <c r="C1" s="372" t="inlineStr">
        <is>
          <t>案件名</t>
        </is>
      </c>
      <c r="D1" s="373" t="n"/>
      <c r="E1" s="374">
        <f>①物件情報入力シート!C3</f>
        <v/>
      </c>
      <c r="F1" s="336" t="n"/>
      <c r="G1" s="336" t="n"/>
      <c r="H1" s="336" t="n"/>
      <c r="I1" s="336" t="n"/>
      <c r="J1" s="369" t="n"/>
      <c r="X1" s="362" t="inlineStr">
        <is>
          <t>契約形態</t>
        </is>
      </c>
      <c r="Y1" s="362" t="inlineStr">
        <is>
          <t>契約方法</t>
        </is>
      </c>
      <c r="Z1" s="362" t="inlineStr">
        <is>
          <t>司法書士(買い)</t>
        </is>
      </c>
      <c r="AA1" s="362" t="inlineStr">
        <is>
          <t>司法書士(売り)</t>
        </is>
      </c>
      <c r="AB1" s="362" t="inlineStr">
        <is>
          <t>領収書</t>
        </is>
      </c>
      <c r="AC1" s="335" t="inlineStr">
        <is>
          <t>持ち物準備する人</t>
        </is>
      </c>
    </row>
    <row r="2" ht="30" customHeight="1">
      <c r="A2" s="364" t="n"/>
      <c r="B2" s="1022" t="n"/>
      <c r="C2" s="380" t="inlineStr">
        <is>
          <t>物件住所</t>
        </is>
      </c>
      <c r="D2" s="381" t="n"/>
      <c r="E2" s="367">
        <f>①物件情報入力シート!C3</f>
        <v/>
      </c>
      <c r="F2" s="368" t="n"/>
      <c r="G2" s="368" t="n"/>
      <c r="H2" s="368" t="n"/>
      <c r="I2" s="368" t="n"/>
      <c r="J2" s="369" t="n"/>
      <c r="X2" s="362" t="inlineStr">
        <is>
          <t>通常売買(仲介あり)→所有権移転→売却</t>
        </is>
      </c>
      <c r="Y2" s="362" t="inlineStr">
        <is>
          <t>対面契約</t>
        </is>
      </c>
      <c r="Z2" s="362" t="inlineStr">
        <is>
          <t>売主指定</t>
        </is>
      </c>
      <c r="AA2" s="362" t="inlineStr">
        <is>
          <t>買主指定</t>
        </is>
      </c>
      <c r="AB2" s="362" t="inlineStr">
        <is>
          <t>不要</t>
        </is>
      </c>
      <c r="AC2" s="335" t="inlineStr">
        <is>
          <t>江藤</t>
        </is>
      </c>
    </row>
    <row r="3" ht="30" customHeight="1">
      <c r="A3" s="362" t="n"/>
      <c r="B3" s="366" t="n"/>
      <c r="C3" s="372" t="inlineStr">
        <is>
          <t>仲介会社</t>
        </is>
      </c>
      <c r="D3" s="373" t="n"/>
      <c r="E3" s="382" t="inlineStr">
        <is>
          <t>株式会社ABC不動産販売</t>
        </is>
      </c>
      <c r="F3" s="383" t="n"/>
      <c r="G3" s="383" t="n"/>
      <c r="H3" s="383" t="n"/>
      <c r="I3" s="383" t="n"/>
      <c r="J3" s="384" t="n"/>
      <c r="K3" s="366" t="n"/>
      <c r="L3" s="372" t="inlineStr">
        <is>
          <t>仲介会社</t>
        </is>
      </c>
      <c r="M3" s="373" t="n"/>
      <c r="N3" s="382" t="inlineStr">
        <is>
          <t>株式会社TSUKUBITO</t>
        </is>
      </c>
      <c r="O3" s="383" t="n"/>
      <c r="P3" s="383" t="n"/>
      <c r="Q3" s="383" t="n"/>
      <c r="R3" s="383" t="n"/>
      <c r="S3" s="384" t="n"/>
      <c r="X3" s="362" t="inlineStr">
        <is>
          <t>通常売買(仲介なし)→所有権移転→売却</t>
        </is>
      </c>
      <c r="Y3" s="362" t="inlineStr">
        <is>
          <t>持ち回り契約</t>
        </is>
      </c>
      <c r="Z3" s="362" t="inlineStr">
        <is>
          <t>バイセル指定</t>
        </is>
      </c>
      <c r="AA3" s="362" t="inlineStr">
        <is>
          <t>バイセル指定</t>
        </is>
      </c>
      <c r="AB3" s="362" t="inlineStr">
        <is>
          <t>電子</t>
        </is>
      </c>
      <c r="AC3" s="335" t="inlineStr">
        <is>
          <t>担当営業</t>
        </is>
      </c>
    </row>
    <row r="4" ht="30" customHeight="1">
      <c r="A4" s="362" t="n"/>
      <c r="B4" s="365" t="n"/>
      <c r="C4" s="375" t="inlineStr">
        <is>
          <t>担当者</t>
        </is>
      </c>
      <c r="D4" s="371" t="n"/>
      <c r="E4" s="385" t="inlineStr">
        <is>
          <t>山田哲人</t>
        </is>
      </c>
      <c r="F4" s="386" t="n"/>
      <c r="G4" s="386" t="n"/>
      <c r="H4" s="386" t="n"/>
      <c r="I4" s="386" t="n"/>
      <c r="J4" s="387" t="n"/>
      <c r="K4" s="365" t="n"/>
      <c r="L4" s="375" t="inlineStr">
        <is>
          <t>担当者</t>
        </is>
      </c>
      <c r="M4" s="371" t="n"/>
      <c r="N4" s="385" t="n"/>
      <c r="O4" s="386" t="n"/>
      <c r="P4" s="386" t="n"/>
      <c r="Q4" s="386" t="n"/>
      <c r="R4" s="386" t="n"/>
      <c r="S4" s="387" t="n"/>
      <c r="X4" s="362" t="inlineStr">
        <is>
          <t>三為契約(仲介あり)</t>
        </is>
      </c>
      <c r="Y4" s="362" t="inlineStr">
        <is>
          <t>電子契約(オンライン)</t>
        </is>
      </c>
      <c r="Z4" s="362" t="inlineStr">
        <is>
          <t>仲介指定</t>
        </is>
      </c>
      <c r="AA4" s="362" t="inlineStr">
        <is>
          <t>仲介指定</t>
        </is>
      </c>
      <c r="AB4" s="362" t="inlineStr">
        <is>
          <t>紙(印紙不要)</t>
        </is>
      </c>
      <c r="AC4" s="335" t="inlineStr">
        <is>
          <t>仲介</t>
        </is>
      </c>
    </row>
    <row r="5" ht="30" customHeight="1">
      <c r="A5" s="362" t="n"/>
      <c r="B5" s="365" t="n"/>
      <c r="C5" s="375" t="inlineStr">
        <is>
          <t>連絡先</t>
        </is>
      </c>
      <c r="D5" s="371" t="n"/>
      <c r="E5" s="385" t="inlineStr">
        <is>
          <t>090-1234-5678</t>
        </is>
      </c>
      <c r="F5" s="386" t="n"/>
      <c r="G5" s="386" t="n"/>
      <c r="H5" s="386" t="n"/>
      <c r="I5" s="386" t="n"/>
      <c r="J5" s="387" t="n"/>
      <c r="K5" s="364" t="n"/>
      <c r="L5" s="375" t="inlineStr">
        <is>
          <t>連絡先</t>
        </is>
      </c>
      <c r="M5" s="371" t="n"/>
      <c r="N5" s="385" t="inlineStr">
        <is>
          <t>090-XXXX-YYYY</t>
        </is>
      </c>
      <c r="O5" s="386" t="n"/>
      <c r="P5" s="386" t="n"/>
      <c r="Q5" s="386" t="n"/>
      <c r="R5" s="386" t="n"/>
      <c r="S5" s="387" t="n"/>
      <c r="X5" s="362" t="inlineStr">
        <is>
          <t>三為契約(仲介なし)</t>
        </is>
      </c>
      <c r="AB5" s="362" t="inlineStr">
        <is>
          <t>紙(印紙必要)</t>
        </is>
      </c>
      <c r="AC5" s="335" t="inlineStr">
        <is>
          <t>売主</t>
        </is>
      </c>
    </row>
    <row r="6" ht="30" customHeight="1">
      <c r="A6" s="362" t="n"/>
      <c r="B6" s="365" t="n"/>
      <c r="C6" s="377" t="inlineStr">
        <is>
          <t>住所</t>
        </is>
      </c>
      <c r="D6" s="378" t="n"/>
      <c r="E6" s="385" t="inlineStr">
        <is>
          <t>埼玉県さいたま市浦和区高砂1-2-3ライオンズマンション高砂第一121</t>
        </is>
      </c>
      <c r="F6" s="386" t="n"/>
      <c r="G6" s="386" t="n"/>
      <c r="H6" s="386" t="n"/>
      <c r="I6" s="386" t="n"/>
      <c r="J6" s="387" t="n"/>
      <c r="K6" s="364" t="n"/>
      <c r="L6" s="377" t="inlineStr">
        <is>
          <t>住所</t>
        </is>
      </c>
      <c r="M6" s="378" t="n"/>
      <c r="N6" s="388" t="inlineStr">
        <is>
          <t>東京都葛飾区高砂5-41-3</t>
        </is>
      </c>
      <c r="O6" s="389" t="n"/>
      <c r="P6" s="389" t="n"/>
      <c r="Q6" s="389" t="n"/>
      <c r="R6" s="389" t="n"/>
      <c r="S6" s="390" t="n"/>
      <c r="X6" s="362" t="inlineStr">
        <is>
          <t>その他</t>
        </is>
      </c>
      <c r="AC6" s="335" t="inlineStr">
        <is>
          <t>買主</t>
        </is>
      </c>
    </row>
    <row r="7" ht="30" customHeight="1">
      <c r="A7" s="364" t="n"/>
      <c r="B7" s="371" t="n"/>
      <c r="C7" s="379" t="inlineStr">
        <is>
          <t>契約の流れ</t>
        </is>
      </c>
      <c r="D7" s="381" t="n"/>
      <c r="E7" s="395" t="inlineStr">
        <is>
          <t>通常売買(仲介なし)→所有権移転→売却</t>
        </is>
      </c>
      <c r="F7" s="396" t="n"/>
      <c r="G7" s="396" t="n"/>
      <c r="H7" s="396" t="n"/>
      <c r="I7" s="396" t="n"/>
      <c r="J7" s="397" t="n"/>
      <c r="K7" s="371" t="n"/>
      <c r="L7" s="379" t="inlineStr">
        <is>
          <t>契約の流れ</t>
        </is>
      </c>
      <c r="M7" s="381" t="n"/>
      <c r="N7" s="395" t="inlineStr">
        <is>
          <t>通常売買(仲介なし)→所有権移転→売却</t>
        </is>
      </c>
      <c r="O7" s="396" t="n"/>
      <c r="P7" s="396" t="n"/>
      <c r="Q7" s="396" t="n"/>
      <c r="R7" s="396" t="n"/>
      <c r="S7" s="397" t="n"/>
      <c r="AC7" s="335" t="inlineStr">
        <is>
          <t>司法書士</t>
        </is>
      </c>
    </row>
    <row r="8" ht="30" customHeight="1">
      <c r="A8" s="376" t="n"/>
      <c r="B8" s="371" t="n"/>
      <c r="C8" s="380" t="inlineStr">
        <is>
          <t>司法書士</t>
        </is>
      </c>
      <c r="D8" s="381" t="n"/>
      <c r="E8" s="409" t="inlineStr">
        <is>
          <t>バイセル手配(公道事務所)</t>
        </is>
      </c>
      <c r="F8" s="407" t="n"/>
      <c r="G8" s="407" t="n"/>
      <c r="H8" s="407" t="n"/>
      <c r="I8" s="407" t="n"/>
      <c r="J8" s="408" t="n"/>
      <c r="K8" s="371" t="n"/>
      <c r="L8" s="380" t="inlineStr">
        <is>
          <t>司法書士</t>
        </is>
      </c>
      <c r="M8" s="381" t="n"/>
      <c r="N8" s="391" t="inlineStr">
        <is>
          <t>バイセル手配(公道事務所)</t>
        </is>
      </c>
      <c r="O8" s="392" t="n"/>
      <c r="P8" s="392" t="n"/>
      <c r="Q8" s="392" t="n"/>
      <c r="R8" s="392" t="n"/>
      <c r="S8" s="393" t="n"/>
      <c r="AC8" s="335" t="inlineStr">
        <is>
          <t>その他</t>
        </is>
      </c>
    </row>
    <row r="9" ht="30" customHeight="1">
      <c r="A9" s="376" t="n"/>
      <c r="B9" s="371" t="n"/>
      <c r="C9" s="380" t="inlineStr">
        <is>
          <t>購入金額</t>
        </is>
      </c>
      <c r="D9" s="381" t="n"/>
      <c r="E9" s="1023">
        <f>'②（土地・建物）事業収支シート'!M29</f>
        <v/>
      </c>
      <c r="F9" s="432" t="n"/>
      <c r="G9" s="432" t="n"/>
      <c r="H9" s="432" t="n"/>
      <c r="I9" s="432" t="n"/>
      <c r="J9" s="433" t="n"/>
      <c r="K9" s="371" t="n"/>
      <c r="L9" s="380" t="inlineStr">
        <is>
          <t>売却金額</t>
        </is>
      </c>
      <c r="M9" s="381" t="n"/>
      <c r="N9" s="1024">
        <f>'②（土地・建物）事業収支シート'!M22</f>
        <v/>
      </c>
      <c r="O9" s="435" t="n"/>
      <c r="P9" s="435" t="n"/>
      <c r="Q9" s="435" t="n"/>
      <c r="R9" s="435" t="n"/>
      <c r="S9" s="436" t="n"/>
    </row>
    <row r="10" ht="30" customHeight="1">
      <c r="A10" s="376" t="n"/>
      <c r="B10" s="371" t="n"/>
      <c r="C10" s="380" t="inlineStr">
        <is>
          <t>購入手付金</t>
        </is>
      </c>
      <c r="D10" s="381" t="n"/>
      <c r="E10" s="1025" t="n">
        <v>100000</v>
      </c>
      <c r="F10" s="407" t="n"/>
      <c r="G10" s="407" t="n"/>
      <c r="H10" s="407" t="n"/>
      <c r="I10" s="407" t="n"/>
      <c r="J10" s="408" t="n"/>
      <c r="K10" s="371" t="n"/>
      <c r="L10" s="380" t="inlineStr">
        <is>
          <t>売却手付金</t>
        </is>
      </c>
      <c r="M10" s="381" t="n"/>
      <c r="N10" s="1026" t="n">
        <v>100000</v>
      </c>
      <c r="O10" s="392" t="n"/>
      <c r="P10" s="392" t="n"/>
      <c r="Q10" s="392" t="n"/>
      <c r="R10" s="392" t="n"/>
      <c r="S10" s="393" t="n"/>
    </row>
    <row r="11" ht="30" customHeight="1">
      <c r="A11" s="376" t="n"/>
      <c r="B11" s="371" t="n"/>
      <c r="C11" s="380" t="inlineStr">
        <is>
          <t>購入残代金</t>
        </is>
      </c>
      <c r="D11" s="381" t="n"/>
      <c r="E11" s="1023">
        <f>E9-E10</f>
        <v/>
      </c>
      <c r="F11" s="432" t="n"/>
      <c r="G11" s="432" t="n"/>
      <c r="H11" s="432" t="n"/>
      <c r="I11" s="432" t="n"/>
      <c r="J11" s="433" t="n"/>
      <c r="K11" s="371" t="n"/>
      <c r="L11" s="380" t="inlineStr">
        <is>
          <t>売却残代金</t>
        </is>
      </c>
      <c r="M11" s="381" t="n"/>
      <c r="N11" s="1024">
        <f>N9-N10</f>
        <v/>
      </c>
      <c r="O11" s="435" t="n"/>
      <c r="P11" s="435" t="n"/>
      <c r="Q11" s="435" t="n"/>
      <c r="R11" s="435" t="n"/>
      <c r="S11" s="436" t="n"/>
    </row>
    <row r="12" ht="60" customHeight="1">
      <c r="A12" s="376" t="n"/>
      <c r="B12" s="411" t="n"/>
      <c r="C12" s="380" t="inlineStr">
        <is>
          <t>備考</t>
        </is>
      </c>
      <c r="D12" s="381" t="n"/>
      <c r="E12" s="441" t="n"/>
      <c r="F12" s="441" t="n"/>
      <c r="G12" s="441" t="n"/>
      <c r="H12" s="441" t="n"/>
      <c r="I12" s="441" t="n"/>
      <c r="J12" s="442" t="n"/>
      <c r="K12" s="370" t="n"/>
      <c r="L12" s="380" t="inlineStr">
        <is>
          <t>備考</t>
        </is>
      </c>
      <c r="M12" s="381" t="n"/>
      <c r="N12" s="443" t="n"/>
      <c r="O12" s="441" t="n"/>
      <c r="P12" s="441" t="n"/>
      <c r="Q12" s="441" t="n"/>
      <c r="R12" s="441" t="n"/>
      <c r="S12" s="442" t="n"/>
    </row>
    <row r="13" ht="30" customHeight="1">
      <c r="B13" s="437" t="n"/>
      <c r="C13" s="379" t="inlineStr">
        <is>
          <t>購入契約日</t>
        </is>
      </c>
      <c r="D13" s="381" t="n"/>
      <c r="E13" s="1027">
        <f>'②（土地・建物）事業収支シート'!H6</f>
        <v/>
      </c>
      <c r="F13" s="380" t="n"/>
      <c r="G13" s="380" t="n"/>
      <c r="H13" s="380" t="n"/>
      <c r="I13" s="380" t="n"/>
      <c r="J13" s="381" t="n"/>
      <c r="K13" s="437" t="n"/>
      <c r="L13" s="379" t="inlineStr">
        <is>
          <t>売却契約日</t>
        </is>
      </c>
      <c r="M13" s="381" t="n"/>
      <c r="N13" s="1028">
        <f>'②（土地・建物）事業収支シート'!H7</f>
        <v/>
      </c>
      <c r="O13" s="380" t="n"/>
      <c r="P13" s="380" t="n"/>
      <c r="Q13" s="380" t="n"/>
      <c r="R13" s="380" t="n"/>
      <c r="S13" s="381" t="n"/>
    </row>
    <row r="14" ht="30" customHeight="1">
      <c r="B14" s="410" t="n"/>
      <c r="C14" s="379" t="inlineStr">
        <is>
          <t>時間</t>
        </is>
      </c>
      <c r="D14" s="381" t="n"/>
      <c r="E14" s="405" t="n">
        <v>0.4166666666666667</v>
      </c>
      <c r="F14" s="401" t="n"/>
      <c r="G14" s="401" t="n"/>
      <c r="H14" s="401" t="n"/>
      <c r="I14" s="401" t="n"/>
      <c r="J14" s="402" t="n"/>
      <c r="K14" s="410" t="n"/>
      <c r="L14" s="379" t="inlineStr">
        <is>
          <t>時間</t>
        </is>
      </c>
      <c r="M14" s="381" t="n"/>
      <c r="N14" s="405" t="n">
        <v>0.4166666666666667</v>
      </c>
      <c r="O14" s="401" t="n"/>
      <c r="P14" s="401" t="n"/>
      <c r="Q14" s="401" t="n"/>
      <c r="R14" s="401" t="n"/>
      <c r="S14" s="402" t="n"/>
    </row>
    <row r="15" ht="30" customHeight="1">
      <c r="B15" s="410" t="n"/>
      <c r="C15" s="379" t="inlineStr">
        <is>
          <t>契約スタイル</t>
        </is>
      </c>
      <c r="D15" s="381" t="n"/>
      <c r="E15" s="421" t="inlineStr">
        <is>
          <t>対面契約</t>
        </is>
      </c>
      <c r="F15" s="422" t="n"/>
      <c r="G15" s="422" t="n"/>
      <c r="H15" s="422" t="n"/>
      <c r="I15" s="422" t="n"/>
      <c r="J15" s="423" t="n"/>
      <c r="K15" s="410" t="n"/>
      <c r="L15" s="379" t="inlineStr">
        <is>
          <t>契約スタイル</t>
        </is>
      </c>
      <c r="M15" s="381" t="n"/>
      <c r="N15" s="421" t="inlineStr">
        <is>
          <t>対面契約</t>
        </is>
      </c>
      <c r="O15" s="422" t="n"/>
      <c r="P15" s="422" t="n"/>
      <c r="Q15" s="422" t="n"/>
      <c r="R15" s="422" t="n"/>
      <c r="S15" s="423" t="n"/>
    </row>
    <row r="16" ht="30" customHeight="1">
      <c r="B16" s="410" t="n"/>
      <c r="C16" s="379" t="inlineStr">
        <is>
          <t>参加者</t>
        </is>
      </c>
      <c r="D16" s="381" t="n"/>
      <c r="E16" s="405" t="inlineStr">
        <is>
          <t>江藤、営業、仲介、売主</t>
        </is>
      </c>
      <c r="F16" s="401" t="n"/>
      <c r="G16" s="401" t="n"/>
      <c r="H16" s="401" t="n"/>
      <c r="I16" s="401" t="n"/>
      <c r="J16" s="402" t="n"/>
      <c r="K16" s="410" t="n"/>
      <c r="L16" s="379" t="inlineStr">
        <is>
          <t>参加者</t>
        </is>
      </c>
      <c r="M16" s="381" t="n"/>
      <c r="N16" s="405" t="inlineStr">
        <is>
          <t>江藤、営業、仲介、買主</t>
        </is>
      </c>
      <c r="O16" s="401" t="n"/>
      <c r="P16" s="401" t="n"/>
      <c r="Q16" s="401" t="n"/>
      <c r="R16" s="401" t="n"/>
      <c r="S16" s="402" t="n"/>
    </row>
    <row r="17" ht="30" customHeight="1">
      <c r="B17" s="410" t="n"/>
      <c r="C17" s="379" t="inlineStr">
        <is>
          <t>場所(住所)</t>
        </is>
      </c>
      <c r="D17" s="381" t="n"/>
      <c r="E17" s="406" t="inlineStr">
        <is>
          <t>埼玉県大宮区</t>
        </is>
      </c>
      <c r="F17" s="401" t="n"/>
      <c r="G17" s="401" t="n"/>
      <c r="H17" s="401" t="n"/>
      <c r="I17" s="401" t="n"/>
      <c r="J17" s="402" t="n"/>
      <c r="K17" s="410" t="n"/>
      <c r="L17" s="379" t="inlineStr">
        <is>
          <t>場所(住所)</t>
        </is>
      </c>
      <c r="M17" s="381" t="n"/>
      <c r="N17" s="406" t="inlineStr">
        <is>
          <t>埼玉県大宮区</t>
        </is>
      </c>
      <c r="O17" s="401" t="n"/>
      <c r="P17" s="401" t="n"/>
      <c r="Q17" s="401" t="n"/>
      <c r="R17" s="401" t="n"/>
      <c r="S17" s="402" t="n"/>
    </row>
    <row r="18" ht="30" customHeight="1">
      <c r="B18" s="410" t="n"/>
      <c r="C18" s="379" t="inlineStr">
        <is>
          <t>Google mapリンク</t>
        </is>
      </c>
      <c r="D18" s="381" t="n"/>
      <c r="E18" s="406" t="inlineStr">
        <is>
          <t>http</t>
        </is>
      </c>
      <c r="F18" s="401" t="n"/>
      <c r="G18" s="401" t="n"/>
      <c r="H18" s="401" t="n"/>
      <c r="I18" s="401" t="n"/>
      <c r="J18" s="402" t="n"/>
      <c r="K18" s="410" t="n"/>
      <c r="L18" s="379" t="inlineStr">
        <is>
          <t>Google mapリンク</t>
        </is>
      </c>
      <c r="M18" s="381" t="n"/>
      <c r="N18" s="406" t="inlineStr">
        <is>
          <t>http</t>
        </is>
      </c>
      <c r="O18" s="401" t="n"/>
      <c r="P18" s="401" t="n"/>
      <c r="Q18" s="401" t="n"/>
      <c r="R18" s="401" t="n"/>
      <c r="S18" s="402" t="n"/>
    </row>
    <row r="19" ht="30" customHeight="1">
      <c r="B19" s="410" t="n"/>
      <c r="C19" s="394" t="inlineStr">
        <is>
          <t>手付金</t>
        </is>
      </c>
      <c r="D19" s="415" t="n"/>
      <c r="E19" s="1029">
        <f>E10</f>
        <v/>
      </c>
      <c r="F19" s="1030" t="n"/>
      <c r="G19" s="1030" t="n"/>
      <c r="H19" s="1030" t="n"/>
      <c r="I19" s="1030" t="n"/>
      <c r="J19" s="1031" t="n"/>
      <c r="K19" s="410" t="n"/>
      <c r="L19" s="394" t="inlineStr">
        <is>
          <t>手付金</t>
        </is>
      </c>
      <c r="M19" s="415" t="n"/>
      <c r="N19" s="1029">
        <f>N10</f>
        <v/>
      </c>
      <c r="O19" s="1030" t="n"/>
      <c r="P19" s="1030" t="n"/>
      <c r="Q19" s="1030" t="n"/>
      <c r="R19" s="1030" t="n"/>
      <c r="S19" s="1031" t="n"/>
    </row>
    <row r="20" ht="30" customHeight="1">
      <c r="B20" s="410" t="n"/>
      <c r="C20" s="414" t="inlineStr">
        <is>
          <t>手付金　振込先口座</t>
        </is>
      </c>
      <c r="D20" s="414" t="n"/>
      <c r="E20" s="417" t="inlineStr">
        <is>
          <t>埼玉縣信用金庫　浦和支店　普通　1234567 ムラカミムネタカ</t>
        </is>
      </c>
      <c r="F20" s="418" t="n"/>
      <c r="G20" s="418" t="n"/>
      <c r="H20" s="418" t="n"/>
      <c r="I20" s="418" t="n"/>
      <c r="J20" s="419" t="n"/>
      <c r="K20" s="410" t="n"/>
      <c r="L20" s="414" t="inlineStr">
        <is>
          <t>手付金　着金口座</t>
        </is>
      </c>
      <c r="M20" s="414" t="n"/>
      <c r="N20" s="417" t="inlineStr">
        <is>
          <t>XXXX　XX支店　普通　XXXXX カ）ビーアンドエスエステート</t>
        </is>
      </c>
      <c r="O20" s="418" t="n"/>
      <c r="P20" s="418" t="n"/>
      <c r="Q20" s="418" t="n"/>
      <c r="R20" s="418" t="n"/>
      <c r="S20" s="419" t="n"/>
    </row>
    <row r="21" ht="30" customHeight="1">
      <c r="B21" s="410" t="n"/>
      <c r="C21" s="415" t="inlineStr">
        <is>
          <t>その他支払金（　　　）</t>
        </is>
      </c>
      <c r="D21" s="415" t="n"/>
      <c r="E21" s="1032" t="n">
        <v>0</v>
      </c>
      <c r="F21" s="1033" t="n"/>
      <c r="G21" s="1033" t="n"/>
      <c r="H21" s="1033" t="n"/>
      <c r="I21" s="1033" t="n"/>
      <c r="J21" s="1034" t="n"/>
      <c r="K21" s="410" t="n"/>
      <c r="L21" s="415" t="inlineStr">
        <is>
          <t>その他支払金（　　　）</t>
        </is>
      </c>
      <c r="M21" s="415" t="n"/>
      <c r="N21" s="1032" t="n">
        <v>0</v>
      </c>
      <c r="O21" s="1033" t="n"/>
      <c r="P21" s="1033" t="n"/>
      <c r="Q21" s="1033" t="n"/>
      <c r="R21" s="1033" t="n"/>
      <c r="S21" s="1034" t="n"/>
    </row>
    <row r="22" ht="30" customHeight="1">
      <c r="B22" s="410" t="n"/>
      <c r="C22" s="404" t="inlineStr">
        <is>
          <t>支払金　振込先口座</t>
        </is>
      </c>
      <c r="D22" s="404" t="n"/>
      <c r="E22" s="447" t="inlineStr">
        <is>
          <t xml:space="preserve">埼玉りそな銀行　XXX </t>
        </is>
      </c>
      <c r="F22" s="448" t="n"/>
      <c r="G22" s="448" t="n"/>
      <c r="H22" s="448" t="n"/>
      <c r="I22" s="448" t="n"/>
      <c r="J22" s="449" t="n"/>
      <c r="K22" s="410" t="n"/>
      <c r="L22" s="404" t="inlineStr">
        <is>
          <t>支払金　振込先口座</t>
        </is>
      </c>
      <c r="M22" s="404" t="n"/>
      <c r="N22" s="447" t="inlineStr">
        <is>
          <t xml:space="preserve">埼玉りそな銀行　XXX </t>
        </is>
      </c>
      <c r="O22" s="448" t="n"/>
      <c r="P22" s="448" t="n"/>
      <c r="Q22" s="448" t="n"/>
      <c r="R22" s="448" t="n"/>
      <c r="S22" s="449" t="n"/>
    </row>
    <row r="23" ht="30" customHeight="1">
      <c r="B23" s="410" t="n"/>
      <c r="C23" s="403" t="inlineStr">
        <is>
          <t>印鑑＆法人代表セット</t>
        </is>
      </c>
      <c r="D23" s="403" t="n"/>
      <c r="E23" s="399" t="inlineStr">
        <is>
          <t>法人印、代表個人印、代表身分証明書</t>
        </is>
      </c>
      <c r="F23" s="400" t="n"/>
      <c r="G23" s="400" t="n"/>
      <c r="H23" s="400" t="n"/>
      <c r="I23" s="438" t="inlineStr">
        <is>
          <t>誰が？</t>
        </is>
      </c>
      <c r="J23" s="424" t="inlineStr">
        <is>
          <t>江藤</t>
        </is>
      </c>
      <c r="K23" s="410" t="n"/>
      <c r="L23" s="403" t="inlineStr">
        <is>
          <t>印鑑＆法人代表セット</t>
        </is>
      </c>
      <c r="M23" s="403" t="n"/>
      <c r="N23" s="399" t="inlineStr">
        <is>
          <t>法人印、代表個人印、代表身分証明書</t>
        </is>
      </c>
      <c r="O23" s="400" t="n"/>
      <c r="P23" s="400" t="n"/>
      <c r="Q23" s="400" t="n"/>
      <c r="R23" s="438" t="inlineStr">
        <is>
          <t>誰が？</t>
        </is>
      </c>
      <c r="S23" s="424" t="inlineStr">
        <is>
          <t>江藤</t>
        </is>
      </c>
    </row>
    <row r="24" ht="30" customHeight="1">
      <c r="B24" s="410" t="n"/>
      <c r="C24" s="403" t="inlineStr">
        <is>
          <t>持ち物1</t>
        </is>
      </c>
      <c r="D24" s="403" t="n"/>
      <c r="E24" s="399" t="inlineStr">
        <is>
          <t>手付金領収書</t>
        </is>
      </c>
      <c r="F24" s="400" t="n"/>
      <c r="G24" s="400" t="n"/>
      <c r="H24" s="400" t="n"/>
      <c r="I24" s="438" t="inlineStr">
        <is>
          <t>誰が？</t>
        </is>
      </c>
      <c r="J24" s="424" t="inlineStr">
        <is>
          <t>仲介</t>
        </is>
      </c>
      <c r="K24" s="410" t="n"/>
      <c r="L24" s="403" t="inlineStr">
        <is>
          <t>持ち物1</t>
        </is>
      </c>
      <c r="M24" s="403" t="n"/>
      <c r="N24" s="399" t="inlineStr">
        <is>
          <t>手付金領収書</t>
        </is>
      </c>
      <c r="O24" s="400" t="n"/>
      <c r="P24" s="400" t="n"/>
      <c r="Q24" s="400" t="n"/>
      <c r="R24" s="438" t="inlineStr">
        <is>
          <t>誰が？</t>
        </is>
      </c>
      <c r="S24" s="424" t="inlineStr">
        <is>
          <t>担当営業</t>
        </is>
      </c>
    </row>
    <row r="25" ht="30" customHeight="1">
      <c r="B25" s="410" t="n"/>
      <c r="C25" s="403" t="inlineStr">
        <is>
          <t>持ち物2</t>
        </is>
      </c>
      <c r="D25" s="403" t="n"/>
      <c r="E25" s="443" t="n"/>
      <c r="F25" s="441" t="n"/>
      <c r="G25" s="441" t="n"/>
      <c r="H25" s="441" t="n"/>
      <c r="I25" s="438" t="inlineStr">
        <is>
          <t>誰が？</t>
        </is>
      </c>
      <c r="J25" s="424" t="n"/>
      <c r="K25" s="410" t="n"/>
      <c r="L25" s="403" t="inlineStr">
        <is>
          <t>持ち物2</t>
        </is>
      </c>
      <c r="M25" s="403" t="n"/>
      <c r="N25" s="443" t="n"/>
      <c r="O25" s="441" t="n"/>
      <c r="P25" s="441" t="n"/>
      <c r="Q25" s="441" t="n"/>
      <c r="R25" s="438" t="inlineStr">
        <is>
          <t>誰が？</t>
        </is>
      </c>
      <c r="S25" s="424" t="n"/>
    </row>
    <row r="26" ht="30" customHeight="1">
      <c r="B26" s="410" t="n"/>
      <c r="C26" s="403" t="inlineStr">
        <is>
          <t>持ち物3</t>
        </is>
      </c>
      <c r="D26" s="403" t="n"/>
      <c r="E26" s="443" t="n"/>
      <c r="F26" s="441" t="n"/>
      <c r="G26" s="441" t="n"/>
      <c r="H26" s="441" t="n"/>
      <c r="I26" s="438" t="inlineStr">
        <is>
          <t>誰が？</t>
        </is>
      </c>
      <c r="J26" s="424" t="n"/>
      <c r="K26" s="410" t="n"/>
      <c r="L26" s="403" t="inlineStr">
        <is>
          <t>持ち物3</t>
        </is>
      </c>
      <c r="M26" s="403" t="n"/>
      <c r="N26" s="443" t="n"/>
      <c r="O26" s="441" t="n"/>
      <c r="P26" s="441" t="n"/>
      <c r="Q26" s="441" t="n"/>
      <c r="R26" s="438" t="inlineStr">
        <is>
          <t>誰が？</t>
        </is>
      </c>
      <c r="S26" s="424" t="n"/>
    </row>
    <row r="27" ht="30" customHeight="1">
      <c r="B27" s="410" t="n"/>
      <c r="C27" s="403" t="inlineStr">
        <is>
          <t>持ち物4</t>
        </is>
      </c>
      <c r="D27" s="403" t="n"/>
      <c r="E27" s="443" t="n"/>
      <c r="F27" s="441" t="n"/>
      <c r="G27" s="441" t="n"/>
      <c r="H27" s="441" t="n"/>
      <c r="I27" s="438" t="inlineStr">
        <is>
          <t>誰が？</t>
        </is>
      </c>
      <c r="J27" s="424" t="n"/>
      <c r="K27" s="410" t="n"/>
      <c r="L27" s="403" t="inlineStr">
        <is>
          <t>持ち物4</t>
        </is>
      </c>
      <c r="M27" s="403" t="n"/>
      <c r="N27" s="443" t="n"/>
      <c r="O27" s="441" t="n"/>
      <c r="P27" s="441" t="n"/>
      <c r="Q27" s="441" t="n"/>
      <c r="R27" s="438" t="inlineStr">
        <is>
          <t>誰が？</t>
        </is>
      </c>
      <c r="S27" s="424" t="n"/>
    </row>
    <row r="28" ht="30" customHeight="1">
      <c r="B28" s="410" t="n"/>
      <c r="C28" s="403" t="inlineStr">
        <is>
          <t>持ち物5</t>
        </is>
      </c>
      <c r="D28" s="403" t="n"/>
      <c r="E28" s="443" t="n"/>
      <c r="F28" s="441" t="n"/>
      <c r="G28" s="441" t="n"/>
      <c r="H28" s="441" t="n"/>
      <c r="I28" s="438" t="inlineStr">
        <is>
          <t>誰が？</t>
        </is>
      </c>
      <c r="J28" s="424" t="n"/>
      <c r="K28" s="410" t="n"/>
      <c r="L28" s="403" t="inlineStr">
        <is>
          <t>持ち物5</t>
        </is>
      </c>
      <c r="M28" s="403" t="n"/>
      <c r="N28" s="443" t="n"/>
      <c r="O28" s="441" t="n"/>
      <c r="P28" s="441" t="n"/>
      <c r="Q28" s="441" t="n"/>
      <c r="R28" s="438" t="inlineStr">
        <is>
          <t>誰が？</t>
        </is>
      </c>
      <c r="S28" s="424" t="n"/>
    </row>
    <row r="29" ht="60" customHeight="1">
      <c r="B29" s="411" t="n"/>
      <c r="C29" s="379" t="inlineStr">
        <is>
          <t>備考</t>
        </is>
      </c>
      <c r="D29" s="381" t="n"/>
      <c r="E29" s="441" t="n"/>
      <c r="F29" s="441" t="n"/>
      <c r="G29" s="441" t="n"/>
      <c r="H29" s="441" t="n"/>
      <c r="I29" s="441" t="n"/>
      <c r="J29" s="442" t="n"/>
      <c r="K29" s="411" t="n"/>
      <c r="L29" s="379" t="inlineStr">
        <is>
          <t>備考</t>
        </is>
      </c>
      <c r="M29" s="381" t="n"/>
      <c r="N29" s="441" t="n"/>
      <c r="O29" s="441" t="n"/>
      <c r="P29" s="441" t="n"/>
      <c r="Q29" s="441" t="n"/>
      <c r="R29" s="441" t="n"/>
      <c r="S29" s="442" t="n"/>
    </row>
    <row r="30" ht="30" customHeight="1">
      <c r="B30" s="437" t="n"/>
      <c r="C30" s="379" t="inlineStr">
        <is>
          <t>購入契約日</t>
        </is>
      </c>
      <c r="D30" s="381" t="n"/>
      <c r="E30" s="1027">
        <f>'②（土地・建物）事業収支シート'!K6</f>
        <v/>
      </c>
      <c r="F30" s="380" t="n"/>
      <c r="G30" s="380" t="n"/>
      <c r="H30" s="380" t="n"/>
      <c r="I30" s="380" t="n"/>
      <c r="J30" s="381" t="n"/>
      <c r="K30" s="437" t="n"/>
      <c r="L30" s="379" t="inlineStr">
        <is>
          <t>売却契約日</t>
        </is>
      </c>
      <c r="M30" s="381" t="n"/>
      <c r="N30" s="1028">
        <f>'②（土地・建物）事業収支シート'!K7</f>
        <v/>
      </c>
      <c r="O30" s="380" t="n"/>
      <c r="P30" s="380" t="n"/>
      <c r="Q30" s="380" t="n"/>
      <c r="R30" s="380" t="n"/>
      <c r="S30" s="381" t="n"/>
    </row>
    <row r="31" ht="30" customHeight="1">
      <c r="B31" s="410" t="n"/>
      <c r="C31" s="379" t="inlineStr">
        <is>
          <t>時間</t>
        </is>
      </c>
      <c r="D31" s="381" t="n"/>
      <c r="E31" s="405" t="n">
        <v>0.4166666666666667</v>
      </c>
      <c r="F31" s="401" t="n"/>
      <c r="G31" s="401" t="n"/>
      <c r="H31" s="401" t="n"/>
      <c r="I31" s="401" t="n"/>
      <c r="J31" s="402" t="n"/>
      <c r="K31" s="410" t="n"/>
      <c r="L31" s="379" t="inlineStr">
        <is>
          <t>時間</t>
        </is>
      </c>
      <c r="M31" s="381" t="n"/>
      <c r="N31" s="405" t="n">
        <v>0.4166666666666667</v>
      </c>
      <c r="O31" s="401" t="n"/>
      <c r="P31" s="401" t="n"/>
      <c r="Q31" s="401" t="n"/>
      <c r="R31" s="401" t="n"/>
      <c r="S31" s="402" t="n"/>
    </row>
    <row r="32" ht="30" customHeight="1">
      <c r="B32" s="410" t="n"/>
      <c r="C32" s="379" t="inlineStr">
        <is>
          <t>契約スタイル</t>
        </is>
      </c>
      <c r="D32" s="381" t="n"/>
      <c r="E32" s="421" t="inlineStr">
        <is>
          <t>対面契約</t>
        </is>
      </c>
      <c r="F32" s="422" t="n"/>
      <c r="G32" s="422" t="n"/>
      <c r="H32" s="422" t="n"/>
      <c r="I32" s="422" t="n"/>
      <c r="J32" s="423" t="n"/>
      <c r="K32" s="410" t="n"/>
      <c r="L32" s="379" t="inlineStr">
        <is>
          <t>契約スタイル</t>
        </is>
      </c>
      <c r="M32" s="381" t="n"/>
      <c r="N32" s="421" t="inlineStr">
        <is>
          <t>対面契約</t>
        </is>
      </c>
      <c r="O32" s="422" t="n"/>
      <c r="P32" s="422" t="n"/>
      <c r="Q32" s="422" t="n"/>
      <c r="R32" s="422" t="n"/>
      <c r="S32" s="423" t="n"/>
    </row>
    <row r="33" ht="30" customHeight="1">
      <c r="B33" s="410" t="n"/>
      <c r="C33" s="379" t="inlineStr">
        <is>
          <t>参加者</t>
        </is>
      </c>
      <c r="D33" s="381" t="n"/>
      <c r="E33" s="405" t="inlineStr">
        <is>
          <t>江藤、営業、仲介、売主</t>
        </is>
      </c>
      <c r="F33" s="401" t="n"/>
      <c r="G33" s="401" t="n"/>
      <c r="H33" s="401" t="n"/>
      <c r="I33" s="401" t="n"/>
      <c r="J33" s="402" t="n"/>
      <c r="K33" s="410" t="n"/>
      <c r="L33" s="379" t="inlineStr">
        <is>
          <t>参加者</t>
        </is>
      </c>
      <c r="M33" s="381" t="n"/>
      <c r="N33" s="405" t="inlineStr">
        <is>
          <t>江藤、営業、仲介、買主</t>
        </is>
      </c>
      <c r="O33" s="401" t="n"/>
      <c r="P33" s="401" t="n"/>
      <c r="Q33" s="401" t="n"/>
      <c r="R33" s="401" t="n"/>
      <c r="S33" s="402" t="n"/>
    </row>
    <row r="34" ht="30" customHeight="1">
      <c r="B34" s="410" t="n"/>
      <c r="C34" s="379" t="inlineStr">
        <is>
          <t>場所(住所)</t>
        </is>
      </c>
      <c r="D34" s="381" t="n"/>
      <c r="E34" s="406" t="inlineStr">
        <is>
          <t>埼玉県大宮区</t>
        </is>
      </c>
      <c r="F34" s="401" t="n"/>
      <c r="G34" s="401" t="n"/>
      <c r="H34" s="401" t="n"/>
      <c r="I34" s="401" t="n"/>
      <c r="J34" s="402" t="n"/>
      <c r="K34" s="410" t="n"/>
      <c r="L34" s="379" t="inlineStr">
        <is>
          <t>場所(住所)</t>
        </is>
      </c>
      <c r="M34" s="381" t="n"/>
      <c r="N34" s="406" t="inlineStr">
        <is>
          <t>埼玉県大宮区</t>
        </is>
      </c>
      <c r="O34" s="401" t="n"/>
      <c r="P34" s="401" t="n"/>
      <c r="Q34" s="401" t="n"/>
      <c r="R34" s="401" t="n"/>
      <c r="S34" s="402" t="n"/>
    </row>
    <row r="35" ht="30" customHeight="1">
      <c r="B35" s="410" t="n"/>
      <c r="C35" s="379" t="inlineStr">
        <is>
          <t>Google mapリンク</t>
        </is>
      </c>
      <c r="D35" s="381" t="n"/>
      <c r="E35" s="406" t="inlineStr">
        <is>
          <t>http</t>
        </is>
      </c>
      <c r="F35" s="401" t="n"/>
      <c r="G35" s="401" t="n"/>
      <c r="H35" s="401" t="n"/>
      <c r="I35" s="401" t="n"/>
      <c r="J35" s="402" t="n"/>
      <c r="K35" s="410" t="n"/>
      <c r="L35" s="379" t="inlineStr">
        <is>
          <t>Google mapリンク</t>
        </is>
      </c>
      <c r="M35" s="381" t="n"/>
      <c r="N35" s="406" t="inlineStr">
        <is>
          <t>http</t>
        </is>
      </c>
      <c r="O35" s="401" t="n"/>
      <c r="P35" s="401" t="n"/>
      <c r="Q35" s="401" t="n"/>
      <c r="R35" s="401" t="n"/>
      <c r="S35" s="402" t="n"/>
    </row>
    <row r="36" ht="30" customHeight="1">
      <c r="B36" s="410" t="n"/>
      <c r="C36" s="394" t="inlineStr">
        <is>
          <t>残代金</t>
        </is>
      </c>
      <c r="D36" s="415" t="n"/>
      <c r="E36" s="1029">
        <f>E9-E19</f>
        <v/>
      </c>
      <c r="F36" s="1030" t="n"/>
      <c r="G36" s="1030" t="n"/>
      <c r="H36" s="1030" t="n"/>
      <c r="I36" s="1030" t="n"/>
      <c r="J36" s="1031" t="n"/>
      <c r="K36" s="410" t="n"/>
      <c r="L36" s="394" t="inlineStr">
        <is>
          <t>残代金</t>
        </is>
      </c>
      <c r="M36" s="415" t="n"/>
      <c r="N36" s="1029">
        <f>N9-N19</f>
        <v/>
      </c>
      <c r="O36" s="1030" t="n"/>
      <c r="P36" s="1030" t="n"/>
      <c r="Q36" s="1030" t="n"/>
      <c r="R36" s="1030" t="n"/>
      <c r="S36" s="1031" t="n"/>
    </row>
    <row r="37" ht="30" customHeight="1">
      <c r="B37" s="410" t="n"/>
      <c r="C37" s="414" t="inlineStr">
        <is>
          <t>残代金　振込先口座</t>
        </is>
      </c>
      <c r="D37" s="414" t="n"/>
      <c r="E37" s="417" t="inlineStr">
        <is>
          <t>埼玉縣信用金庫　浦和支店　普通　1234567 ムラカミムネタカ</t>
        </is>
      </c>
      <c r="F37" s="418" t="n"/>
      <c r="G37" s="418" t="n"/>
      <c r="H37" s="418" t="n"/>
      <c r="I37" s="418" t="n"/>
      <c r="J37" s="419" t="n"/>
      <c r="K37" s="410" t="n"/>
      <c r="L37" s="414" t="inlineStr">
        <is>
          <t>残代金　着金口座</t>
        </is>
      </c>
      <c r="M37" s="414" t="n"/>
      <c r="N37" s="417" t="inlineStr">
        <is>
          <t>XXXX　XX支店　普通　XXXXX カ）ビーアンドエスエステート</t>
        </is>
      </c>
      <c r="O37" s="418" t="n"/>
      <c r="P37" s="418" t="n"/>
      <c r="Q37" s="418" t="n"/>
      <c r="R37" s="418" t="n"/>
      <c r="S37" s="419" t="n"/>
    </row>
    <row r="38" ht="30" customHeight="1">
      <c r="B38" s="410" t="n"/>
      <c r="C38" s="415" t="inlineStr">
        <is>
          <t>固都税精算金</t>
        </is>
      </c>
      <c r="D38" s="415" t="n"/>
      <c r="E38" s="1035" t="n">
        <v>10000</v>
      </c>
      <c r="F38" s="1036" t="n"/>
      <c r="G38" s="1036" t="n"/>
      <c r="H38" s="1036" t="n"/>
      <c r="I38" s="1036" t="n"/>
      <c r="J38" s="1037">
        <f>E36+E38</f>
        <v/>
      </c>
      <c r="K38" s="410" t="n"/>
      <c r="L38" s="415" t="inlineStr">
        <is>
          <t>固都税精算金</t>
        </is>
      </c>
      <c r="M38" s="415" t="n"/>
      <c r="N38" s="1035" t="n">
        <v>10000</v>
      </c>
      <c r="O38" s="1036" t="n"/>
      <c r="P38" s="1036" t="n"/>
      <c r="Q38" s="1036" t="n"/>
      <c r="R38" s="1036" t="n"/>
      <c r="S38" s="1038">
        <f>N36+N38</f>
        <v/>
      </c>
    </row>
    <row r="39" ht="30" customHeight="1">
      <c r="B39" s="410" t="n"/>
      <c r="C39" s="404" t="inlineStr">
        <is>
          <t>精算金　振込先口座</t>
        </is>
      </c>
      <c r="D39" s="404" t="n"/>
      <c r="E39" s="398" t="inlineStr">
        <is>
          <t>埼玉縣信用金庫　浦和支店　普通　1234567 ムラカミムネタカ</t>
        </is>
      </c>
      <c r="F39" s="388" t="n"/>
      <c r="G39" s="388" t="n"/>
      <c r="H39" s="388" t="n"/>
      <c r="I39" s="388" t="n"/>
      <c r="J39" s="420" t="n"/>
      <c r="K39" s="410" t="n"/>
      <c r="L39" s="404" t="inlineStr">
        <is>
          <t>精算金　着金口座</t>
        </is>
      </c>
      <c r="M39" s="404" t="n"/>
      <c r="N39" s="417" t="inlineStr">
        <is>
          <t>XXXX　XX支店　普通　XXXXX カ）ビーアンドエスエステート</t>
        </is>
      </c>
      <c r="O39" s="388" t="n"/>
      <c r="P39" s="388" t="n"/>
      <c r="Q39" s="388" t="n"/>
      <c r="R39" s="388" t="n"/>
      <c r="S39" s="420" t="n"/>
    </row>
    <row r="40" ht="30" customHeight="1">
      <c r="B40" s="410" t="n"/>
      <c r="C40" s="415" t="inlineStr">
        <is>
          <t>仲介手数料</t>
        </is>
      </c>
      <c r="D40" s="415" t="n"/>
      <c r="E40" s="1029">
        <f>'②（土地・建物）事業収支シート'!H33+'②（土地・建物）事業収支シート'!I33</f>
        <v/>
      </c>
      <c r="F40" s="1030" t="n"/>
      <c r="G40" s="1030" t="n"/>
      <c r="H40" s="1030" t="n"/>
      <c r="I40" s="1030" t="n"/>
      <c r="J40" s="1031" t="n"/>
      <c r="K40" s="410" t="n"/>
      <c r="L40" s="415" t="inlineStr">
        <is>
          <t>仲介手数料</t>
        </is>
      </c>
      <c r="M40" s="415" t="n"/>
      <c r="N40" s="1029">
        <f>'②（土地・建物）事業収支シート'!H57+'②（土地・建物）事業収支シート'!I57</f>
        <v/>
      </c>
      <c r="O40" s="1030" t="n"/>
      <c r="P40" s="1030" t="n"/>
      <c r="Q40" s="1030" t="n"/>
      <c r="R40" s="1030" t="n"/>
      <c r="S40" s="1031" t="n"/>
    </row>
    <row r="41" ht="30" customHeight="1">
      <c r="B41" s="410" t="n"/>
      <c r="C41" s="404" t="inlineStr">
        <is>
          <t>支払金　振込先口座</t>
        </is>
      </c>
      <c r="D41" s="404" t="n"/>
      <c r="E41" s="398" t="inlineStr">
        <is>
          <t xml:space="preserve">埼玉りそな銀行　XXX </t>
        </is>
      </c>
      <c r="F41" s="388" t="n"/>
      <c r="G41" s="388" t="n"/>
      <c r="H41" s="388" t="n"/>
      <c r="I41" s="388" t="n"/>
      <c r="J41" s="420" t="n"/>
      <c r="K41" s="410" t="n"/>
      <c r="L41" s="404" t="inlineStr">
        <is>
          <t>支払金　振込先口座</t>
        </is>
      </c>
      <c r="M41" s="404" t="n"/>
      <c r="N41" s="398" t="inlineStr">
        <is>
          <t xml:space="preserve">埼玉りそな銀行　XXX </t>
        </is>
      </c>
      <c r="O41" s="388" t="n"/>
      <c r="P41" s="388" t="n"/>
      <c r="Q41" s="388" t="n"/>
      <c r="R41" s="388" t="n"/>
      <c r="S41" s="420" t="n"/>
    </row>
    <row r="42" ht="30" customHeight="1">
      <c r="B42" s="410" t="n"/>
      <c r="C42" s="415" t="inlineStr">
        <is>
          <t>移転登記費用</t>
        </is>
      </c>
      <c r="D42" s="415" t="n"/>
      <c r="E42" s="1029">
        <f>SUM('②（土地・建物）事業収支シート'!H52:J53)</f>
        <v/>
      </c>
      <c r="F42" s="1030" t="n"/>
      <c r="G42" s="1030" t="n"/>
      <c r="H42" s="1030" t="n"/>
      <c r="I42" s="1030" t="n"/>
      <c r="J42" s="1031" t="n"/>
      <c r="K42" s="410" t="n"/>
      <c r="L42" s="415" t="inlineStr">
        <is>
          <t>抵当権抹消費用</t>
        </is>
      </c>
      <c r="M42" s="415" t="n"/>
      <c r="N42" s="1029">
        <f>'②（土地・建物）事業収支シート'!H56</f>
        <v/>
      </c>
      <c r="O42" s="1030" t="n"/>
      <c r="P42" s="1030" t="n"/>
      <c r="Q42" s="1030" t="n"/>
      <c r="R42" s="1030" t="n"/>
      <c r="S42" s="1031" t="n"/>
    </row>
    <row r="43" ht="30" customHeight="1">
      <c r="B43" s="410" t="n"/>
      <c r="C43" s="404" t="inlineStr">
        <is>
          <t>支払金　振込先口座</t>
        </is>
      </c>
      <c r="D43" s="404" t="n"/>
      <c r="E43" s="398" t="inlineStr">
        <is>
          <t>埼玉りそな銀行　司法書士法人ZZZ</t>
        </is>
      </c>
      <c r="F43" s="388" t="n"/>
      <c r="G43" s="388" t="n"/>
      <c r="H43" s="388" t="n"/>
      <c r="I43" s="388" t="n"/>
      <c r="J43" s="420" t="n"/>
      <c r="K43" s="410" t="n"/>
      <c r="L43" s="404" t="inlineStr">
        <is>
          <t>支払金　振込先口座</t>
        </is>
      </c>
      <c r="M43" s="404" t="n"/>
      <c r="N43" s="398" t="inlineStr">
        <is>
          <t xml:space="preserve">埼玉りそな銀行　XXX </t>
        </is>
      </c>
      <c r="O43" s="388" t="n"/>
      <c r="P43" s="388" t="n"/>
      <c r="Q43" s="388" t="n"/>
      <c r="R43" s="388" t="n"/>
      <c r="S43" s="420" t="n"/>
    </row>
    <row r="44" ht="30" customHeight="1">
      <c r="B44" s="410" t="n"/>
      <c r="C44" s="415" t="inlineStr">
        <is>
          <t>業務委託料</t>
        </is>
      </c>
      <c r="D44" s="415" t="n"/>
      <c r="E44" s="1029">
        <f>'②（土地・建物）事業収支シート'!H46</f>
        <v/>
      </c>
      <c r="F44" s="1030" t="n"/>
      <c r="G44" s="1030" t="n"/>
      <c r="H44" s="1030" t="n"/>
      <c r="I44" s="1030" t="n"/>
      <c r="J44" s="1031" t="n"/>
      <c r="K44" s="410" t="n"/>
      <c r="L44" s="415" t="inlineStr">
        <is>
          <t>その他支払金(   )</t>
        </is>
      </c>
      <c r="M44" s="415" t="n"/>
      <c r="N44" s="1032" t="n">
        <v>0</v>
      </c>
      <c r="O44" s="1033" t="n"/>
      <c r="P44" s="1033" t="n"/>
      <c r="Q44" s="1033" t="n"/>
      <c r="R44" s="1033" t="n"/>
      <c r="S44" s="1034" t="n"/>
    </row>
    <row r="45" ht="30" customHeight="1">
      <c r="B45" s="410" t="n"/>
      <c r="C45" s="404" t="inlineStr">
        <is>
          <t>支払金　振込先口座</t>
        </is>
      </c>
      <c r="D45" s="404" t="n"/>
      <c r="E45" s="398" t="inlineStr">
        <is>
          <t xml:space="preserve">埼玉りそな銀行　XXX </t>
        </is>
      </c>
      <c r="F45" s="388" t="n"/>
      <c r="G45" s="388" t="n"/>
      <c r="H45" s="388" t="n"/>
      <c r="I45" s="388" t="n"/>
      <c r="J45" s="420" t="n"/>
      <c r="K45" s="410" t="n"/>
      <c r="L45" s="404" t="inlineStr">
        <is>
          <t>支払金　振込先口座</t>
        </is>
      </c>
      <c r="M45" s="404" t="n"/>
      <c r="N45" s="447" t="inlineStr">
        <is>
          <t xml:space="preserve">埼玉りそな銀行　XXX </t>
        </is>
      </c>
      <c r="O45" s="448" t="n"/>
      <c r="P45" s="448" t="n"/>
      <c r="Q45" s="448" t="n"/>
      <c r="R45" s="448" t="n"/>
      <c r="S45" s="449" t="n"/>
    </row>
    <row r="46" ht="30" customHeight="1">
      <c r="B46" s="410" t="n"/>
      <c r="C46" s="403" t="inlineStr">
        <is>
          <t>印鑑＆法人代表セット</t>
        </is>
      </c>
      <c r="D46" s="403" t="n"/>
      <c r="E46" s="399" t="inlineStr">
        <is>
          <t>法人印、代表個人印、代表身分証明書</t>
        </is>
      </c>
      <c r="F46" s="400" t="n"/>
      <c r="G46" s="400" t="n"/>
      <c r="H46" s="400" t="n"/>
      <c r="I46" s="438" t="inlineStr">
        <is>
          <t>誰が？</t>
        </is>
      </c>
      <c r="J46" s="424" t="inlineStr">
        <is>
          <t>江藤</t>
        </is>
      </c>
      <c r="K46" s="410" t="n"/>
      <c r="L46" s="403" t="inlineStr">
        <is>
          <t>印鑑＆法人代表セット</t>
        </is>
      </c>
      <c r="M46" s="403" t="n"/>
      <c r="N46" s="399" t="inlineStr">
        <is>
          <t>法人印、代表個人印、代表身分証明書</t>
        </is>
      </c>
      <c r="O46" s="400" t="n"/>
      <c r="P46" s="400" t="n"/>
      <c r="Q46" s="400" t="n"/>
      <c r="R46" s="438" t="inlineStr">
        <is>
          <t>誰が？</t>
        </is>
      </c>
      <c r="S46" s="424" t="inlineStr">
        <is>
          <t>江藤</t>
        </is>
      </c>
    </row>
    <row r="47" ht="30" customHeight="1">
      <c r="B47" s="410" t="n"/>
      <c r="C47" s="403" t="inlineStr">
        <is>
          <t>持ち物1</t>
        </is>
      </c>
      <c r="D47" s="403" t="n"/>
      <c r="E47" s="399" t="inlineStr">
        <is>
          <t>固定資産税領収書</t>
        </is>
      </c>
      <c r="F47" s="400" t="n"/>
      <c r="G47" s="400" t="n"/>
      <c r="H47" s="400" t="n"/>
      <c r="I47" s="438" t="inlineStr">
        <is>
          <t>誰が？</t>
        </is>
      </c>
      <c r="J47" s="424" t="inlineStr">
        <is>
          <t>仲介</t>
        </is>
      </c>
      <c r="K47" s="410" t="n"/>
      <c r="L47" s="403" t="inlineStr">
        <is>
          <t>持ち物1</t>
        </is>
      </c>
      <c r="M47" s="403" t="n"/>
      <c r="N47" s="399" t="inlineStr">
        <is>
          <t>固定資産税領収書</t>
        </is>
      </c>
      <c r="O47" s="400" t="n"/>
      <c r="P47" s="400" t="n"/>
      <c r="Q47" s="400" t="n"/>
      <c r="R47" s="438" t="inlineStr">
        <is>
          <t>誰が？</t>
        </is>
      </c>
      <c r="S47" s="424" t="inlineStr">
        <is>
          <t>担当営業</t>
        </is>
      </c>
    </row>
    <row r="48" ht="30" customHeight="1">
      <c r="B48" s="410" t="n"/>
      <c r="C48" s="403" t="inlineStr">
        <is>
          <t>持ち物2</t>
        </is>
      </c>
      <c r="D48" s="403" t="n"/>
      <c r="E48" s="443" t="n"/>
      <c r="F48" s="441" t="n"/>
      <c r="G48" s="441" t="n"/>
      <c r="H48" s="441" t="n"/>
      <c r="I48" s="438" t="inlineStr">
        <is>
          <t>誰が？</t>
        </is>
      </c>
      <c r="J48" s="424" t="inlineStr">
        <is>
          <t>仲介</t>
        </is>
      </c>
      <c r="K48" s="410" t="n"/>
      <c r="L48" s="403" t="inlineStr">
        <is>
          <t>持ち物2</t>
        </is>
      </c>
      <c r="M48" s="403" t="n"/>
      <c r="N48" s="443" t="n"/>
      <c r="O48" s="441" t="n"/>
      <c r="P48" s="441" t="n"/>
      <c r="Q48" s="441" t="n"/>
      <c r="R48" s="438" t="inlineStr">
        <is>
          <t>誰が？</t>
        </is>
      </c>
      <c r="S48" s="424" t="n"/>
    </row>
    <row r="49" ht="30" customHeight="1">
      <c r="B49" s="410" t="n"/>
      <c r="C49" s="403" t="inlineStr">
        <is>
          <t>持ち物3</t>
        </is>
      </c>
      <c r="D49" s="403" t="n"/>
      <c r="E49" s="443" t="n"/>
      <c r="F49" s="441" t="n"/>
      <c r="G49" s="441" t="n"/>
      <c r="H49" s="441" t="n"/>
      <c r="I49" s="438" t="inlineStr">
        <is>
          <t>誰が？</t>
        </is>
      </c>
      <c r="J49" s="424" t="n"/>
      <c r="K49" s="410" t="n"/>
      <c r="L49" s="403" t="inlineStr">
        <is>
          <t>持ち物3</t>
        </is>
      </c>
      <c r="M49" s="403" t="n"/>
      <c r="N49" s="443" t="n"/>
      <c r="O49" s="441" t="n"/>
      <c r="P49" s="441" t="n"/>
      <c r="Q49" s="441" t="n"/>
      <c r="R49" s="438" t="inlineStr">
        <is>
          <t>誰が？</t>
        </is>
      </c>
      <c r="S49" s="424" t="n"/>
    </row>
    <row r="50" ht="30" customHeight="1">
      <c r="B50" s="410" t="n"/>
      <c r="C50" s="403" t="inlineStr">
        <is>
          <t>持ち物4</t>
        </is>
      </c>
      <c r="D50" s="403" t="n"/>
      <c r="E50" s="443" t="n"/>
      <c r="F50" s="441" t="n"/>
      <c r="G50" s="441" t="n"/>
      <c r="H50" s="441" t="n"/>
      <c r="I50" s="438" t="inlineStr">
        <is>
          <t>誰が？</t>
        </is>
      </c>
      <c r="J50" s="424" t="n"/>
      <c r="K50" s="410" t="n"/>
      <c r="L50" s="403" t="inlineStr">
        <is>
          <t>持ち物4</t>
        </is>
      </c>
      <c r="M50" s="403" t="n"/>
      <c r="N50" s="443" t="n"/>
      <c r="O50" s="441" t="n"/>
      <c r="P50" s="441" t="n"/>
      <c r="Q50" s="441" t="n"/>
      <c r="R50" s="438" t="inlineStr">
        <is>
          <t>誰が？</t>
        </is>
      </c>
      <c r="S50" s="424" t="n"/>
    </row>
    <row r="51" ht="30" customHeight="1">
      <c r="B51" s="410" t="n"/>
      <c r="C51" s="403" t="inlineStr">
        <is>
          <t>持ち物5</t>
        </is>
      </c>
      <c r="D51" s="403" t="n"/>
      <c r="E51" s="443" t="n"/>
      <c r="F51" s="441" t="n"/>
      <c r="G51" s="441" t="n"/>
      <c r="H51" s="441" t="n"/>
      <c r="I51" s="438" t="inlineStr">
        <is>
          <t>誰が？</t>
        </is>
      </c>
      <c r="J51" s="424" t="n"/>
      <c r="K51" s="410" t="n"/>
      <c r="L51" s="403" t="inlineStr">
        <is>
          <t>持ち物5</t>
        </is>
      </c>
      <c r="M51" s="403" t="n"/>
      <c r="N51" s="443" t="n"/>
      <c r="O51" s="441" t="n"/>
      <c r="P51" s="441" t="n"/>
      <c r="Q51" s="441" t="n"/>
      <c r="R51" s="438" t="inlineStr">
        <is>
          <t>誰が？</t>
        </is>
      </c>
      <c r="S51" s="424" t="n"/>
    </row>
    <row r="52" ht="60" customHeight="1">
      <c r="B52" s="411" t="n"/>
      <c r="C52" s="379" t="inlineStr">
        <is>
          <t>備考</t>
        </is>
      </c>
      <c r="D52" s="381" t="n"/>
      <c r="E52" s="441" t="n"/>
      <c r="F52" s="441" t="n"/>
      <c r="G52" s="441" t="n"/>
      <c r="H52" s="441" t="n"/>
      <c r="I52" s="441" t="n"/>
      <c r="J52" s="442" t="n"/>
      <c r="K52" s="411" t="n"/>
      <c r="L52" s="379" t="inlineStr">
        <is>
          <t>備考</t>
        </is>
      </c>
      <c r="M52" s="381" t="n"/>
      <c r="N52" s="441" t="n"/>
      <c r="O52" s="441" t="n"/>
      <c r="P52" s="441" t="n"/>
      <c r="Q52" s="441" t="n"/>
      <c r="R52" s="441" t="n"/>
      <c r="S52" s="442" t="n"/>
    </row>
  </sheetData>
  <mergeCells count="1">
    <mergeCell ref="B1:B2"/>
  </mergeCells>
  <dataValidations count="3">
    <dataValidation sqref="E7 N7" showDropDown="0" showInputMessage="1" showErrorMessage="1" allowBlank="1" type="list">
      <formula1>$X$2:$X$6</formula1>
    </dataValidation>
    <dataValidation sqref="E15 E32 N15 N32" showDropDown="0" showInputMessage="1" showErrorMessage="1" allowBlank="1" type="list">
      <formula1>$Y$2:$Y$4</formula1>
    </dataValidation>
    <dataValidation sqref="J23:J28 J46:J51 S23:S28 S46:S51" showDropDown="0" showInputMessage="1" showErrorMessage="1" allowBlank="1" type="list">
      <formula1>$AC$2:$AC$8</formula1>
    </dataValidation>
  </dataValidations>
  <pageMargins left="0.7" right="0.7" top="0.75" bottom="0.75" header="0.3" footer="0.3"/>
  <pageSetup orientation="landscape" paperSize="9" scale="29" horizontalDpi="0" verticalDpi="0"/>
  <rowBreaks count="1" manualBreakCount="1">
    <brk id="51" min="0" max="16383" man="1"/>
  </rowBreaks>
  <colBreaks count="1" manualBreakCount="1">
    <brk id="24" min="0" max="1048575" man="1"/>
  </colBreaks>
</worksheet>
</file>

<file path=xl/worksheets/sheet5.xml><?xml version="1.0" encoding="utf-8"?>
<worksheet xmlns="http://schemas.openxmlformats.org/spreadsheetml/2006/main">
  <sheetPr>
    <tabColor rgb="FF92D050"/>
    <outlinePr summaryBelow="1" summaryRight="1"/>
    <pageSetUpPr/>
  </sheetPr>
  <dimension ref="A1:CT117"/>
  <sheetViews>
    <sheetView view="pageBreakPreview" topLeftCell="A29" zoomScale="111" zoomScaleNormal="125" zoomScaleSheetLayoutView="85" workbookViewId="0">
      <selection activeCell="AM65" sqref="AM65:AU66"/>
    </sheetView>
  </sheetViews>
  <sheetFormatPr baseColWidth="10" defaultColWidth="2.33203125" defaultRowHeight="13.5" customHeight="1"/>
  <cols>
    <col width="2.33203125" customWidth="1" style="244" min="1" max="2"/>
    <col width="2.33203125" customWidth="1" style="244" min="3" max="3"/>
    <col width="2.33203125" customWidth="1" style="244" min="4" max="49"/>
    <col width="2.33203125" customWidth="1" style="244" min="50" max="50"/>
    <col width="2.33203125" customWidth="1" style="245" min="51" max="51"/>
    <col width="2.33203125" customWidth="1" style="244" min="52" max="16384"/>
  </cols>
  <sheetData>
    <row r="1" ht="10.5" customHeight="1">
      <c r="A1" s="243" t="n"/>
      <c r="B1" s="243" t="n"/>
      <c r="C1" s="243" t="n"/>
      <c r="D1" s="243" t="n"/>
      <c r="E1" s="243" t="n"/>
      <c r="F1" s="243" t="n"/>
      <c r="G1" s="243" t="n"/>
      <c r="H1" s="243" t="n"/>
      <c r="I1" s="243" t="n"/>
      <c r="J1" s="243" t="n"/>
      <c r="K1" s="243" t="n"/>
      <c r="L1" s="243" t="n"/>
      <c r="M1" s="243" t="n"/>
      <c r="N1" s="243" t="n"/>
      <c r="O1" s="243" t="n"/>
      <c r="P1" s="243" t="n"/>
      <c r="Q1" s="243" t="n"/>
      <c r="R1" s="243" t="n"/>
      <c r="S1" s="243" t="n"/>
      <c r="T1" s="243" t="n"/>
      <c r="U1" s="243" t="n"/>
      <c r="V1" s="243" t="n"/>
      <c r="W1" s="243" t="n"/>
      <c r="X1" s="243" t="n"/>
      <c r="Y1" s="243" t="n"/>
      <c r="Z1" s="243" t="n"/>
      <c r="AA1" s="243" t="n"/>
      <c r="AB1" s="243" t="n"/>
      <c r="AC1" s="243" t="n"/>
      <c r="AD1" s="243" t="n"/>
      <c r="AE1" s="243" t="n"/>
      <c r="AF1" s="243" t="n"/>
      <c r="AG1" s="243" t="n"/>
      <c r="AH1" s="243" t="n"/>
      <c r="AI1" s="243" t="n"/>
      <c r="AJ1" s="243" t="n"/>
      <c r="AK1" s="243" t="n"/>
      <c r="AL1" s="243" t="n"/>
      <c r="AM1" s="243" t="n"/>
      <c r="AN1" s="243" t="n"/>
      <c r="AO1" s="243" t="n"/>
      <c r="AP1" s="243" t="n"/>
    </row>
    <row r="2" ht="10.5" customHeight="1">
      <c r="A2" s="246" t="n"/>
      <c r="B2" s="246" t="n"/>
      <c r="C2" s="246" t="n"/>
      <c r="D2" s="246" t="n"/>
      <c r="E2" s="246" t="n"/>
      <c r="F2" s="246" t="n"/>
      <c r="G2" s="246" t="n"/>
      <c r="H2" s="246" t="n"/>
      <c r="I2" s="246" t="n"/>
      <c r="J2" s="246" t="n"/>
      <c r="K2" s="246" t="n"/>
      <c r="L2" s="246" t="n"/>
      <c r="M2" s="246" t="n"/>
      <c r="N2" s="246" t="n"/>
      <c r="O2" s="246" t="n"/>
      <c r="P2" s="246" t="n"/>
      <c r="Q2" s="246" t="n"/>
      <c r="R2" s="246" t="n"/>
      <c r="S2" s="246" t="n"/>
      <c r="T2" s="246" t="n"/>
      <c r="U2" s="246" t="n"/>
      <c r="V2" s="246" t="n"/>
      <c r="W2" s="247" t="n"/>
      <c r="AD2" s="247" t="n"/>
      <c r="AE2" s="247" t="n"/>
      <c r="AF2" s="247" t="n"/>
      <c r="AG2" s="247" t="n"/>
      <c r="AH2" s="809" t="inlineStr">
        <is>
          <t>令和</t>
        </is>
      </c>
      <c r="AI2" s="939" t="n"/>
      <c r="AJ2" s="939" t="n"/>
      <c r="AK2" s="824" t="inlineStr">
        <is>
          <t>6</t>
        </is>
      </c>
      <c r="AL2" s="939" t="n"/>
      <c r="AM2" s="939" t="n"/>
      <c r="AN2" s="811" t="inlineStr">
        <is>
          <t>年</t>
        </is>
      </c>
      <c r="AP2" s="825" t="inlineStr">
        <is>
          <t>8</t>
        </is>
      </c>
      <c r="AQ2" s="939" t="n"/>
      <c r="AR2" s="811" t="inlineStr">
        <is>
          <t>月</t>
        </is>
      </c>
      <c r="AT2" s="825" t="inlineStr">
        <is>
          <t>19</t>
        </is>
      </c>
      <c r="AU2" s="939" t="n"/>
      <c r="AV2" s="811" t="inlineStr">
        <is>
          <t>日</t>
        </is>
      </c>
      <c r="AY2" s="244" t="n"/>
    </row>
    <row r="3" ht="10.5" customHeight="1">
      <c r="A3" s="246" t="n"/>
      <c r="B3" s="246" t="n"/>
      <c r="C3" s="246" t="n"/>
      <c r="D3" s="246" t="n"/>
      <c r="E3" s="246" t="n"/>
      <c r="F3" s="246" t="n"/>
      <c r="G3" s="246" t="n"/>
      <c r="H3" s="246" t="n"/>
      <c r="I3" s="246" t="n"/>
      <c r="J3" s="246" t="n"/>
      <c r="K3" s="246" t="n"/>
      <c r="L3" s="246" t="n"/>
      <c r="M3" s="246" t="n"/>
      <c r="N3" s="246" t="n"/>
      <c r="O3" s="246" t="n"/>
      <c r="P3" s="246" t="n"/>
      <c r="Q3" s="246" t="n"/>
      <c r="R3" s="246" t="n"/>
      <c r="S3" s="246" t="n"/>
      <c r="T3" s="246" t="n"/>
      <c r="U3" s="246" t="n"/>
      <c r="V3" s="246" t="n"/>
      <c r="W3" s="247" t="n"/>
      <c r="AD3" s="247" t="n"/>
      <c r="AE3" s="247" t="n"/>
      <c r="AF3" s="247" t="n"/>
      <c r="AG3" s="247" t="n"/>
      <c r="AH3" s="939" t="n"/>
      <c r="AI3" s="939" t="n"/>
      <c r="AJ3" s="939" t="n"/>
      <c r="AK3" s="939" t="n"/>
      <c r="AL3" s="939" t="n"/>
      <c r="AM3" s="939" t="n"/>
      <c r="AP3" s="939" t="n"/>
      <c r="AQ3" s="939" t="n"/>
      <c r="AT3" s="939" t="n"/>
      <c r="AU3" s="939" t="n"/>
      <c r="AY3" s="244" t="n"/>
    </row>
    <row r="4" ht="10.5" customHeight="1">
      <c r="B4" s="246" t="n"/>
      <c r="C4" s="246" t="n"/>
      <c r="D4" s="246" t="n"/>
      <c r="E4" s="246" t="n"/>
      <c r="F4" s="246" t="n"/>
      <c r="G4" s="246" t="n"/>
      <c r="H4" s="246" t="n"/>
      <c r="I4" s="246" t="n"/>
      <c r="J4" s="246" t="n"/>
      <c r="K4" s="246" t="n"/>
      <c r="L4" s="246" t="n"/>
      <c r="M4" s="246" t="n"/>
      <c r="N4" s="246" t="n"/>
      <c r="O4" s="246" t="n"/>
      <c r="P4" s="246" t="n"/>
      <c r="Q4" s="246" t="n"/>
      <c r="R4" s="246" t="n"/>
      <c r="S4" s="246" t="n"/>
      <c r="T4" s="246" t="n"/>
      <c r="U4" s="246" t="n"/>
      <c r="V4" s="246" t="n"/>
      <c r="AC4" s="248" t="n"/>
      <c r="AD4" s="248" t="n"/>
      <c r="AE4" s="248" t="n"/>
      <c r="AF4" s="248" t="n"/>
      <c r="AG4" s="248" t="n"/>
      <c r="AH4" s="248" t="n"/>
      <c r="AI4" s="780" t="n"/>
      <c r="AJ4" s="780" t="n"/>
      <c r="AK4" s="780" t="n"/>
      <c r="AL4" s="780" t="n"/>
      <c r="AM4" s="248" t="n"/>
      <c r="AN4" s="248" t="n"/>
      <c r="AO4" s="248" t="n"/>
      <c r="AP4" s="248" t="n"/>
      <c r="AQ4" s="248" t="n"/>
      <c r="AR4" s="248" t="n"/>
      <c r="AS4" s="780" t="n"/>
      <c r="AT4" s="780" t="n"/>
      <c r="AU4" s="780" t="n"/>
      <c r="AV4" s="780" t="n"/>
      <c r="AY4" s="244" t="n"/>
      <c r="BR4" s="245" t="n"/>
    </row>
    <row r="5" ht="10.5" customHeight="1">
      <c r="A5" s="812" t="inlineStr">
        <is>
          <t>取引成立台帳（土地、土地建物、借地権付建物売買）</t>
        </is>
      </c>
    </row>
    <row r="6" ht="10.5" customHeight="1"/>
    <row r="7" ht="10.5" customHeight="1"/>
    <row r="8" ht="10.5" customHeight="1"/>
    <row r="9" ht="10.5" customHeight="1">
      <c r="A9" s="812" t="n"/>
      <c r="X9" s="251" t="n"/>
      <c r="Y9" s="251" t="n"/>
      <c r="Z9" s="251" t="n"/>
      <c r="AA9" s="251" t="n"/>
      <c r="AB9" s="251" t="n"/>
      <c r="AC9" s="251" t="n"/>
      <c r="AD9" s="251" t="n"/>
      <c r="AE9" s="251" t="n"/>
      <c r="AF9" s="252" t="n"/>
      <c r="AG9" s="252" t="n"/>
      <c r="AH9" s="252" t="n"/>
      <c r="AI9" s="252" t="n"/>
      <c r="AL9" s="252" t="n"/>
      <c r="AM9" s="252" t="n"/>
      <c r="AN9" s="252" t="n"/>
      <c r="AO9" s="252" t="n"/>
      <c r="AR9" s="252" t="n"/>
      <c r="AU9" s="252" t="n"/>
      <c r="AV9" s="252" t="n"/>
      <c r="AW9" s="253" t="n"/>
      <c r="AX9" s="251" t="n"/>
      <c r="AY9" s="244" t="n"/>
    </row>
    <row r="10" ht="10.5" customHeight="1">
      <c r="A10" s="812" t="n"/>
      <c r="X10" s="251" t="n"/>
      <c r="Y10" s="251" t="n"/>
      <c r="Z10" s="251" t="n"/>
      <c r="AA10" s="251" t="n"/>
      <c r="AB10" s="251" t="n"/>
      <c r="AC10" s="251" t="n"/>
      <c r="AD10" s="251" t="n"/>
      <c r="AE10" s="251" t="n"/>
      <c r="AF10" s="252" t="n"/>
      <c r="AG10" s="252" t="n"/>
      <c r="AH10" s="252" t="n"/>
      <c r="AI10" s="252" t="n"/>
      <c r="AL10" s="252" t="n"/>
      <c r="AM10" s="252" t="n"/>
      <c r="AN10" s="252" t="n"/>
      <c r="AO10" s="252" t="n"/>
      <c r="AR10" s="252" t="n"/>
      <c r="AU10" s="252" t="n"/>
      <c r="AV10" s="252" t="n"/>
      <c r="AW10" s="253" t="n"/>
      <c r="AX10" s="251" t="n"/>
      <c r="AY10" s="244" t="n"/>
    </row>
    <row r="11" ht="10.5" customHeight="1">
      <c r="A11" s="812" t="n"/>
      <c r="B11" s="793" t="inlineStr">
        <is>
          <t>物 件 区 分</t>
        </is>
      </c>
      <c r="C11" s="1039" t="n"/>
      <c r="D11" s="1039" t="n"/>
      <c r="E11" s="1039" t="n"/>
      <c r="F11" s="1039" t="n"/>
      <c r="G11" s="1040" t="n"/>
      <c r="H11" s="1041" t="inlineStr">
        <is>
          <t>土地建物（中古）売買</t>
        </is>
      </c>
      <c r="I11" s="1042" t="n"/>
      <c r="J11" s="1042" t="n"/>
      <c r="K11" s="1042" t="n"/>
      <c r="L11" s="1042" t="n"/>
      <c r="M11" s="1042" t="n"/>
      <c r="N11" s="1042" t="n"/>
      <c r="O11" s="1042" t="n"/>
      <c r="P11" s="1042" t="n"/>
      <c r="Q11" s="1042" t="n"/>
      <c r="R11" s="1042" t="n"/>
      <c r="S11" s="1042" t="n"/>
      <c r="T11" s="1043" t="n"/>
      <c r="U11" s="793" t="inlineStr">
        <is>
          <t>登録年月日</t>
        </is>
      </c>
      <c r="V11" s="1039" t="n"/>
      <c r="W11" s="1039" t="n"/>
      <c r="X11" s="1039" t="n"/>
      <c r="Y11" s="1039" t="n"/>
      <c r="Z11" s="1040" t="n"/>
      <c r="AA11" s="1044">
        <f>'②（土地・建物）事業収支シート'!H6</f>
        <v/>
      </c>
      <c r="AB11" s="1042" t="n"/>
      <c r="AC11" s="1042" t="n"/>
      <c r="AD11" s="1042" t="n"/>
      <c r="AE11" s="1042" t="n"/>
      <c r="AF11" s="1042" t="n"/>
      <c r="AG11" s="1042" t="n"/>
      <c r="AH11" s="1042" t="n"/>
      <c r="AI11" s="1042" t="n"/>
      <c r="AJ11" s="1042" t="n"/>
      <c r="AK11" s="1042" t="n"/>
      <c r="AL11" s="1042" t="n"/>
      <c r="AM11" s="1043" t="n"/>
      <c r="AN11" s="561" t="inlineStr">
        <is>
          <t>契約区分</t>
        </is>
      </c>
      <c r="AO11" s="1045" t="n"/>
      <c r="AP11" s="1045" t="n"/>
      <c r="AQ11" s="1045" t="n"/>
      <c r="AR11" s="1045" t="n"/>
      <c r="AS11" s="1046" t="n"/>
      <c r="AT11" s="1047" t="inlineStr">
        <is>
          <t>売買</t>
        </is>
      </c>
      <c r="AU11" s="1042" t="n"/>
      <c r="AV11" s="1042" t="n"/>
      <c r="AW11" s="1043" t="n"/>
      <c r="AX11" s="251" t="n"/>
      <c r="AY11" s="244" t="n"/>
    </row>
    <row r="12" ht="10.5" customHeight="1">
      <c r="A12" s="246" t="n"/>
      <c r="B12" s="1048" t="n"/>
      <c r="C12" s="1049" t="n"/>
      <c r="D12" s="1049" t="n"/>
      <c r="E12" s="1049" t="n"/>
      <c r="F12" s="1049" t="n"/>
      <c r="G12" s="1050" t="n"/>
      <c r="H12" s="1051" t="n"/>
      <c r="I12" s="1052" t="n"/>
      <c r="J12" s="1052" t="n"/>
      <c r="K12" s="1052" t="n"/>
      <c r="L12" s="1052" t="n"/>
      <c r="M12" s="1052" t="n"/>
      <c r="N12" s="1052" t="n"/>
      <c r="O12" s="1052" t="n"/>
      <c r="P12" s="1052" t="n"/>
      <c r="Q12" s="1052" t="n"/>
      <c r="R12" s="1052" t="n"/>
      <c r="S12" s="1052" t="n"/>
      <c r="T12" s="1053" t="n"/>
      <c r="U12" s="1048" t="n"/>
      <c r="V12" s="1049" t="n"/>
      <c r="W12" s="1049" t="n"/>
      <c r="X12" s="1049" t="n"/>
      <c r="Y12" s="1049" t="n"/>
      <c r="Z12" s="1050" t="n"/>
      <c r="AA12" s="1052" t="n"/>
      <c r="AB12" s="1052" t="n"/>
      <c r="AC12" s="1052" t="n"/>
      <c r="AD12" s="1052" t="n"/>
      <c r="AE12" s="1052" t="n"/>
      <c r="AF12" s="1052" t="n"/>
      <c r="AG12" s="1052" t="n"/>
      <c r="AH12" s="1052" t="n"/>
      <c r="AI12" s="1052" t="n"/>
      <c r="AJ12" s="1052" t="n"/>
      <c r="AK12" s="1052" t="n"/>
      <c r="AL12" s="1052" t="n"/>
      <c r="AM12" s="1053" t="n"/>
      <c r="AN12" s="1054" t="n"/>
      <c r="AO12" s="1055" t="n"/>
      <c r="AP12" s="1055" t="n"/>
      <c r="AQ12" s="1055" t="n"/>
      <c r="AR12" s="1055" t="n"/>
      <c r="AS12" s="1056" t="n"/>
      <c r="AT12" s="1051" t="n"/>
      <c r="AU12" s="1052" t="n"/>
      <c r="AV12" s="1052" t="n"/>
      <c r="AW12" s="1053" t="n"/>
      <c r="AX12" s="251" t="n"/>
      <c r="AY12" s="244" t="n"/>
    </row>
    <row r="13" ht="10.5" customHeight="1">
      <c r="A13" s="246" t="n"/>
      <c r="B13" s="793" t="inlineStr">
        <is>
          <t>成立年月日</t>
        </is>
      </c>
      <c r="C13" s="1039" t="n"/>
      <c r="D13" s="1039" t="n"/>
      <c r="E13" s="1039" t="n"/>
      <c r="F13" s="1039" t="n"/>
      <c r="G13" s="1040" t="n"/>
      <c r="H13" s="1057">
        <f>'②（土地・建物）事業収支シート'!K6</f>
        <v/>
      </c>
      <c r="I13" s="1042" t="n"/>
      <c r="J13" s="1042" t="n"/>
      <c r="K13" s="1042" t="n"/>
      <c r="L13" s="1042" t="n"/>
      <c r="M13" s="1042" t="n"/>
      <c r="N13" s="1042" t="n"/>
      <c r="O13" s="1042" t="n"/>
      <c r="P13" s="1042" t="n"/>
      <c r="Q13" s="1042" t="n"/>
      <c r="R13" s="1042" t="n"/>
      <c r="S13" s="1042" t="n"/>
      <c r="T13" s="1043" t="n"/>
      <c r="U13" s="793" t="inlineStr">
        <is>
          <t>引渡年月日</t>
        </is>
      </c>
      <c r="V13" s="1039" t="n"/>
      <c r="W13" s="1039" t="n"/>
      <c r="X13" s="1039" t="n"/>
      <c r="Y13" s="1039" t="n"/>
      <c r="Z13" s="1040" t="n"/>
      <c r="AA13" s="1058">
        <f>H13</f>
        <v/>
      </c>
      <c r="AB13" s="1042" t="n"/>
      <c r="AC13" s="1042" t="n"/>
      <c r="AD13" s="1042" t="n"/>
      <c r="AE13" s="1042" t="n"/>
      <c r="AF13" s="1042" t="n"/>
      <c r="AG13" s="1042" t="n"/>
      <c r="AH13" s="1042" t="n"/>
      <c r="AI13" s="1042" t="n"/>
      <c r="AJ13" s="1042" t="n"/>
      <c r="AK13" s="1042" t="n"/>
      <c r="AL13" s="1042" t="n"/>
      <c r="AM13" s="1043" t="n"/>
      <c r="AN13" s="1059" t="inlineStr">
        <is>
          <t>取引態様</t>
        </is>
      </c>
      <c r="AO13" s="1045" t="n"/>
      <c r="AP13" s="1045" t="n"/>
      <c r="AQ13" s="1045" t="n"/>
      <c r="AR13" s="1045" t="n"/>
      <c r="AS13" s="1046" t="n"/>
      <c r="AT13" s="776" t="inlineStr">
        <is>
          <t>買主</t>
        </is>
      </c>
      <c r="AU13" s="1042" t="n"/>
      <c r="AV13" s="1042" t="n"/>
      <c r="AW13" s="1043" t="n"/>
      <c r="AY13" s="244" t="n"/>
    </row>
    <row r="14" ht="10.5" customHeight="1">
      <c r="A14" s="246" t="n"/>
      <c r="B14" s="1048" t="n"/>
      <c r="C14" s="1049" t="n"/>
      <c r="D14" s="1049" t="n"/>
      <c r="E14" s="1049" t="n"/>
      <c r="F14" s="1049" t="n"/>
      <c r="G14" s="1050" t="n"/>
      <c r="H14" s="1051" t="n"/>
      <c r="I14" s="1052" t="n"/>
      <c r="J14" s="1052" t="n"/>
      <c r="K14" s="1052" t="n"/>
      <c r="L14" s="1052" t="n"/>
      <c r="M14" s="1052" t="n"/>
      <c r="N14" s="1052" t="n"/>
      <c r="O14" s="1052" t="n"/>
      <c r="P14" s="1052" t="n"/>
      <c r="Q14" s="1052" t="n"/>
      <c r="R14" s="1052" t="n"/>
      <c r="S14" s="1052" t="n"/>
      <c r="T14" s="1053" t="n"/>
      <c r="U14" s="1048" t="n"/>
      <c r="V14" s="1049" t="n"/>
      <c r="W14" s="1049" t="n"/>
      <c r="X14" s="1049" t="n"/>
      <c r="Y14" s="1049" t="n"/>
      <c r="Z14" s="1050" t="n"/>
      <c r="AA14" s="939" t="n"/>
      <c r="AB14" s="939" t="n"/>
      <c r="AC14" s="939" t="n"/>
      <c r="AD14" s="939" t="n"/>
      <c r="AE14" s="939" t="n"/>
      <c r="AF14" s="939" t="n"/>
      <c r="AG14" s="939" t="n"/>
      <c r="AH14" s="939" t="n"/>
      <c r="AI14" s="939" t="n"/>
      <c r="AJ14" s="939" t="n"/>
      <c r="AK14" s="939" t="n"/>
      <c r="AL14" s="939" t="n"/>
      <c r="AM14" s="1060" t="n"/>
      <c r="AN14" s="1061" t="n"/>
      <c r="AS14" s="1062" t="n"/>
      <c r="AT14" s="939" t="n"/>
      <c r="AU14" s="939" t="n"/>
      <c r="AV14" s="939" t="n"/>
      <c r="AW14" s="1060" t="n"/>
      <c r="AY14" s="244" t="n"/>
    </row>
    <row r="15" ht="10.5" customHeight="1">
      <c r="A15" s="246" t="n"/>
      <c r="B15" s="1063" t="inlineStr">
        <is>
          <t>売 主</t>
        </is>
      </c>
      <c r="C15" s="1046" t="n"/>
      <c r="D15" s="561" t="inlineStr">
        <is>
          <t>氏  名</t>
        </is>
      </c>
      <c r="E15" s="1045" t="n"/>
      <c r="F15" s="1045" t="n"/>
      <c r="G15" s="1046" t="n"/>
      <c r="H15" s="767" t="n"/>
      <c r="I15" s="1064" t="n"/>
      <c r="J15" s="1064" t="n"/>
      <c r="K15" s="1064" t="n"/>
      <c r="L15" s="1064" t="n"/>
      <c r="M15" s="1064" t="n"/>
      <c r="N15" s="1064" t="n"/>
      <c r="O15" s="1064" t="n"/>
      <c r="P15" s="1064" t="n"/>
      <c r="Q15" s="1064" t="n"/>
      <c r="R15" s="1064" t="n"/>
      <c r="S15" s="1064" t="n"/>
      <c r="T15" s="1064" t="n"/>
      <c r="U15" s="1064" t="n"/>
      <c r="V15" s="1064" t="n"/>
      <c r="W15" s="1064" t="n"/>
      <c r="X15" s="1064" t="n"/>
      <c r="Y15" s="1064" t="n"/>
      <c r="Z15" s="1064" t="n"/>
      <c r="AA15" s="1064" t="n"/>
      <c r="AB15" s="1064" t="n"/>
      <c r="AC15" s="1064" t="n"/>
      <c r="AD15" s="1064" t="n"/>
      <c r="AE15" s="1064" t="n"/>
      <c r="AF15" s="1064" t="n"/>
      <c r="AG15" s="1064" t="n"/>
      <c r="AH15" s="1065" t="n"/>
      <c r="AI15" s="785" t="inlineStr">
        <is>
          <t>TEL：</t>
        </is>
      </c>
      <c r="AJ15" s="1039" t="n"/>
      <c r="AK15" s="1039" t="n"/>
      <c r="AL15" s="1040" t="n"/>
      <c r="AM15" s="791" t="n"/>
      <c r="AN15" s="1064" t="n"/>
      <c r="AO15" s="1064" t="n"/>
      <c r="AP15" s="1064" t="n"/>
      <c r="AQ15" s="1064" t="n"/>
      <c r="AR15" s="1064" t="n"/>
      <c r="AS15" s="1064" t="n"/>
      <c r="AT15" s="1064" t="n"/>
      <c r="AU15" s="1064" t="n"/>
      <c r="AV15" s="1064" t="n"/>
      <c r="AW15" s="1065" t="n"/>
      <c r="AY15" s="244" t="n"/>
    </row>
    <row r="16" ht="10.5" customHeight="1">
      <c r="A16" s="246" t="n"/>
      <c r="B16" s="1061" t="n"/>
      <c r="C16" s="1062" t="n"/>
      <c r="D16" s="1054" t="n"/>
      <c r="E16" s="1055" t="n"/>
      <c r="F16" s="1055" t="n"/>
      <c r="G16" s="1056" t="n"/>
      <c r="H16" s="1066" t="n"/>
      <c r="I16" s="1067" t="n"/>
      <c r="J16" s="1067" t="n"/>
      <c r="K16" s="1067" t="n"/>
      <c r="L16" s="1067" t="n"/>
      <c r="M16" s="1067" t="n"/>
      <c r="N16" s="1067" t="n"/>
      <c r="O16" s="1067" t="n"/>
      <c r="P16" s="1067" t="n"/>
      <c r="Q16" s="1067" t="n"/>
      <c r="R16" s="1067" t="n"/>
      <c r="S16" s="1067" t="n"/>
      <c r="T16" s="1067" t="n"/>
      <c r="U16" s="1067" t="n"/>
      <c r="V16" s="1067" t="n"/>
      <c r="W16" s="1067" t="n"/>
      <c r="X16" s="1067" t="n"/>
      <c r="Y16" s="1067" t="n"/>
      <c r="Z16" s="1067" t="n"/>
      <c r="AA16" s="1067" t="n"/>
      <c r="AB16" s="1067" t="n"/>
      <c r="AC16" s="1067" t="n"/>
      <c r="AD16" s="1067" t="n"/>
      <c r="AE16" s="1067" t="n"/>
      <c r="AF16" s="1067" t="n"/>
      <c r="AG16" s="1067" t="n"/>
      <c r="AH16" s="1068" t="n"/>
      <c r="AI16" s="1049" t="n"/>
      <c r="AJ16" s="1049" t="n"/>
      <c r="AK16" s="1049" t="n"/>
      <c r="AL16" s="1050" t="n"/>
      <c r="AM16" s="1067" t="n"/>
      <c r="AN16" s="1067" t="n"/>
      <c r="AO16" s="1067" t="n"/>
      <c r="AP16" s="1067" t="n"/>
      <c r="AQ16" s="1067" t="n"/>
      <c r="AR16" s="1067" t="n"/>
      <c r="AS16" s="1067" t="n"/>
      <c r="AT16" s="1067" t="n"/>
      <c r="AU16" s="1067" t="n"/>
      <c r="AV16" s="1067" t="n"/>
      <c r="AW16" s="1068" t="n"/>
      <c r="AY16" s="244" t="n"/>
    </row>
    <row r="17" ht="10.5" customHeight="1">
      <c r="A17" s="246" t="n"/>
      <c r="B17" s="1061" t="n"/>
      <c r="C17" s="1062" t="n"/>
      <c r="D17" s="561" t="inlineStr">
        <is>
          <t>住  所</t>
        </is>
      </c>
      <c r="E17" s="1045" t="n"/>
      <c r="F17" s="1045" t="n"/>
      <c r="G17" s="1046" t="n"/>
      <c r="H17" s="767" t="n"/>
      <c r="I17" s="1064" t="n"/>
      <c r="J17" s="1064" t="n"/>
      <c r="K17" s="1064" t="n"/>
      <c r="L17" s="1064" t="n"/>
      <c r="M17" s="1064" t="n"/>
      <c r="N17" s="1064" t="n"/>
      <c r="O17" s="1064" t="n"/>
      <c r="P17" s="1064" t="n"/>
      <c r="Q17" s="1064" t="n"/>
      <c r="R17" s="1064" t="n"/>
      <c r="S17" s="1064" t="n"/>
      <c r="T17" s="1064" t="n"/>
      <c r="U17" s="1064" t="n"/>
      <c r="V17" s="1064" t="n"/>
      <c r="W17" s="1064" t="n"/>
      <c r="X17" s="1064" t="n"/>
      <c r="Y17" s="1064" t="n"/>
      <c r="Z17" s="1064" t="n"/>
      <c r="AA17" s="1064" t="n"/>
      <c r="AB17" s="1064" t="n"/>
      <c r="AC17" s="1064" t="n"/>
      <c r="AD17" s="1064" t="n"/>
      <c r="AE17" s="1064" t="n"/>
      <c r="AF17" s="1064" t="n"/>
      <c r="AG17" s="1064" t="n"/>
      <c r="AH17" s="1064" t="n"/>
      <c r="AI17" s="1064" t="n"/>
      <c r="AJ17" s="1064" t="n"/>
      <c r="AK17" s="1064" t="n"/>
      <c r="AL17" s="1064" t="n"/>
      <c r="AM17" s="1064" t="n"/>
      <c r="AN17" s="1064" t="n"/>
      <c r="AO17" s="1064" t="n"/>
      <c r="AP17" s="1064" t="n"/>
      <c r="AQ17" s="1064" t="n"/>
      <c r="AR17" s="1064" t="n"/>
      <c r="AS17" s="1064" t="n"/>
      <c r="AT17" s="1064" t="n"/>
      <c r="AU17" s="1064" t="n"/>
      <c r="AV17" s="1064" t="n"/>
      <c r="AW17" s="1065" t="n"/>
      <c r="AX17" s="251" t="n"/>
      <c r="AY17" s="251" t="n"/>
    </row>
    <row r="18" ht="10.5" customHeight="1">
      <c r="A18" s="246" t="n"/>
      <c r="B18" s="1061" t="n"/>
      <c r="C18" s="1062" t="n"/>
      <c r="D18" s="1054" t="n"/>
      <c r="E18" s="1055" t="n"/>
      <c r="F18" s="1055" t="n"/>
      <c r="G18" s="1056" t="n"/>
      <c r="H18" s="1066" t="n"/>
      <c r="I18" s="1067" t="n"/>
      <c r="J18" s="1067" t="n"/>
      <c r="K18" s="1067" t="n"/>
      <c r="L18" s="1067" t="n"/>
      <c r="M18" s="1067" t="n"/>
      <c r="N18" s="1067" t="n"/>
      <c r="O18" s="1067" t="n"/>
      <c r="P18" s="1067" t="n"/>
      <c r="Q18" s="1067" t="n"/>
      <c r="R18" s="1067" t="n"/>
      <c r="S18" s="1067" t="n"/>
      <c r="T18" s="1067" t="n"/>
      <c r="U18" s="1067" t="n"/>
      <c r="V18" s="1067" t="n"/>
      <c r="W18" s="1067" t="n"/>
      <c r="X18" s="1067" t="n"/>
      <c r="Y18" s="1067" t="n"/>
      <c r="Z18" s="1067" t="n"/>
      <c r="AA18" s="1067" t="n"/>
      <c r="AB18" s="1067" t="n"/>
      <c r="AC18" s="1067" t="n"/>
      <c r="AD18" s="1067" t="n"/>
      <c r="AE18" s="1067" t="n"/>
      <c r="AF18" s="1067" t="n"/>
      <c r="AG18" s="1067" t="n"/>
      <c r="AH18" s="1067" t="n"/>
      <c r="AI18" s="1067" t="n"/>
      <c r="AJ18" s="1067" t="n"/>
      <c r="AK18" s="1067" t="n"/>
      <c r="AL18" s="1067" t="n"/>
      <c r="AM18" s="1067" t="n"/>
      <c r="AN18" s="1067" t="n"/>
      <c r="AO18" s="1067" t="n"/>
      <c r="AP18" s="1067" t="n"/>
      <c r="AQ18" s="1067" t="n"/>
      <c r="AR18" s="1067" t="n"/>
      <c r="AS18" s="1067" t="n"/>
      <c r="AT18" s="1067" t="n"/>
      <c r="AU18" s="1067" t="n"/>
      <c r="AV18" s="1067" t="n"/>
      <c r="AW18" s="1068" t="n"/>
      <c r="AX18" s="251" t="n"/>
      <c r="AY18" s="251" t="n"/>
    </row>
    <row r="19" ht="10.5" customHeight="1">
      <c r="A19" s="246" t="n"/>
      <c r="B19" s="1061" t="n"/>
      <c r="C19" s="1062" t="n"/>
      <c r="D19" s="561" t="inlineStr">
        <is>
          <t>代理人氏名</t>
        </is>
      </c>
      <c r="E19" s="1045" t="n"/>
      <c r="F19" s="1045" t="n"/>
      <c r="G19" s="1046" t="n"/>
      <c r="H19" s="767" t="n"/>
      <c r="I19" s="1064" t="n"/>
      <c r="J19" s="1064" t="n"/>
      <c r="K19" s="1064" t="n"/>
      <c r="L19" s="1064" t="n"/>
      <c r="M19" s="1064" t="n"/>
      <c r="N19" s="1064" t="n"/>
      <c r="O19" s="1064" t="n"/>
      <c r="P19" s="1064" t="n"/>
      <c r="Q19" s="1064" t="n"/>
      <c r="R19" s="1064" t="n"/>
      <c r="S19" s="1064" t="n"/>
      <c r="T19" s="1064" t="n"/>
      <c r="U19" s="1064" t="n"/>
      <c r="V19" s="1064" t="n"/>
      <c r="W19" s="1064" t="n"/>
      <c r="X19" s="1064" t="n"/>
      <c r="Y19" s="1064" t="n"/>
      <c r="Z19" s="1064" t="n"/>
      <c r="AA19" s="1064" t="n"/>
      <c r="AB19" s="1064" t="n"/>
      <c r="AC19" s="1064" t="n"/>
      <c r="AD19" s="1064" t="n"/>
      <c r="AE19" s="1064" t="n"/>
      <c r="AF19" s="1064" t="n"/>
      <c r="AG19" s="1064" t="n"/>
      <c r="AH19" s="1065" t="n"/>
      <c r="AI19" s="785" t="inlineStr">
        <is>
          <t>TEL：</t>
        </is>
      </c>
      <c r="AJ19" s="1039" t="n"/>
      <c r="AK19" s="1039" t="n"/>
      <c r="AL19" s="1040" t="n"/>
      <c r="AM19" s="791" t="n"/>
      <c r="AN19" s="1064" t="n"/>
      <c r="AO19" s="1064" t="n"/>
      <c r="AP19" s="1064" t="n"/>
      <c r="AQ19" s="1064" t="n"/>
      <c r="AR19" s="1064" t="n"/>
      <c r="AS19" s="1064" t="n"/>
      <c r="AT19" s="1064" t="n"/>
      <c r="AU19" s="1064" t="n"/>
      <c r="AV19" s="1064" t="n"/>
      <c r="AW19" s="1065" t="n"/>
      <c r="AX19" s="251" t="n"/>
      <c r="AY19" s="251" t="n"/>
    </row>
    <row r="20" ht="10.5" customHeight="1">
      <c r="A20" s="246" t="n"/>
      <c r="B20" s="1061" t="n"/>
      <c r="C20" s="1062" t="n"/>
      <c r="D20" s="1054" t="n"/>
      <c r="E20" s="1055" t="n"/>
      <c r="F20" s="1055" t="n"/>
      <c r="G20" s="1056" t="n"/>
      <c r="H20" s="1066" t="n"/>
      <c r="I20" s="1067" t="n"/>
      <c r="J20" s="1067" t="n"/>
      <c r="K20" s="1067" t="n"/>
      <c r="L20" s="1067" t="n"/>
      <c r="M20" s="1067" t="n"/>
      <c r="N20" s="1067" t="n"/>
      <c r="O20" s="1067" t="n"/>
      <c r="P20" s="1067" t="n"/>
      <c r="Q20" s="1067" t="n"/>
      <c r="R20" s="1067" t="n"/>
      <c r="S20" s="1067" t="n"/>
      <c r="T20" s="1067" t="n"/>
      <c r="U20" s="1067" t="n"/>
      <c r="V20" s="1067" t="n"/>
      <c r="W20" s="1067" t="n"/>
      <c r="X20" s="1067" t="n"/>
      <c r="Y20" s="1067" t="n"/>
      <c r="Z20" s="1067" t="n"/>
      <c r="AA20" s="1067" t="n"/>
      <c r="AB20" s="1067" t="n"/>
      <c r="AC20" s="1067" t="n"/>
      <c r="AD20" s="1067" t="n"/>
      <c r="AE20" s="1067" t="n"/>
      <c r="AF20" s="1067" t="n"/>
      <c r="AG20" s="1067" t="n"/>
      <c r="AH20" s="1068" t="n"/>
      <c r="AI20" s="1049" t="n"/>
      <c r="AJ20" s="1049" t="n"/>
      <c r="AK20" s="1049" t="n"/>
      <c r="AL20" s="1050" t="n"/>
      <c r="AM20" s="1067" t="n"/>
      <c r="AN20" s="1067" t="n"/>
      <c r="AO20" s="1067" t="n"/>
      <c r="AP20" s="1067" t="n"/>
      <c r="AQ20" s="1067" t="n"/>
      <c r="AR20" s="1067" t="n"/>
      <c r="AS20" s="1067" t="n"/>
      <c r="AT20" s="1067" t="n"/>
      <c r="AU20" s="1067" t="n"/>
      <c r="AV20" s="1067" t="n"/>
      <c r="AW20" s="1068" t="n"/>
      <c r="AX20" s="251" t="n"/>
      <c r="AY20" s="251" t="n"/>
    </row>
    <row r="21" ht="10.5" customHeight="1">
      <c r="A21" s="246" t="n"/>
      <c r="B21" s="1061" t="n"/>
      <c r="C21" s="1062" t="n"/>
      <c r="D21" s="561" t="inlineStr">
        <is>
          <t>代理人住所</t>
        </is>
      </c>
      <c r="E21" s="1045" t="n"/>
      <c r="F21" s="1045" t="n"/>
      <c r="G21" s="1046" t="n"/>
      <c r="H21" s="767" t="n"/>
      <c r="I21" s="1064" t="n"/>
      <c r="J21" s="1064" t="n"/>
      <c r="K21" s="1064" t="n"/>
      <c r="L21" s="1064" t="n"/>
      <c r="M21" s="1064" t="n"/>
      <c r="N21" s="1064" t="n"/>
      <c r="O21" s="1064" t="n"/>
      <c r="P21" s="1064" t="n"/>
      <c r="Q21" s="1064" t="n"/>
      <c r="R21" s="1064" t="n"/>
      <c r="S21" s="1064" t="n"/>
      <c r="T21" s="1064" t="n"/>
      <c r="U21" s="1064" t="n"/>
      <c r="V21" s="1064" t="n"/>
      <c r="W21" s="1064" t="n"/>
      <c r="X21" s="1064" t="n"/>
      <c r="Y21" s="1064" t="n"/>
      <c r="Z21" s="1064" t="n"/>
      <c r="AA21" s="1064" t="n"/>
      <c r="AB21" s="1064" t="n"/>
      <c r="AC21" s="1064" t="n"/>
      <c r="AD21" s="1064" t="n"/>
      <c r="AE21" s="1064" t="n"/>
      <c r="AF21" s="1064" t="n"/>
      <c r="AG21" s="1064" t="n"/>
      <c r="AH21" s="1064" t="n"/>
      <c r="AI21" s="1064" t="n"/>
      <c r="AJ21" s="1064" t="n"/>
      <c r="AK21" s="1064" t="n"/>
      <c r="AL21" s="1064" t="n"/>
      <c r="AM21" s="1064" t="n"/>
      <c r="AN21" s="1064" t="n"/>
      <c r="AO21" s="1064" t="n"/>
      <c r="AP21" s="1064" t="n"/>
      <c r="AQ21" s="1064" t="n"/>
      <c r="AR21" s="1064" t="n"/>
      <c r="AS21" s="1064" t="n"/>
      <c r="AT21" s="1064" t="n"/>
      <c r="AU21" s="1064" t="n"/>
      <c r="AV21" s="1064" t="n"/>
      <c r="AW21" s="1065" t="n"/>
      <c r="AX21" s="251" t="n"/>
      <c r="AY21" s="251" t="n"/>
    </row>
    <row r="22" ht="10.5" customHeight="1">
      <c r="A22" s="246" t="n"/>
      <c r="B22" s="1054" t="n"/>
      <c r="C22" s="1056" t="n"/>
      <c r="D22" s="1054" t="n"/>
      <c r="E22" s="1055" t="n"/>
      <c r="F22" s="1055" t="n"/>
      <c r="G22" s="1056" t="n"/>
      <c r="H22" s="1066" t="n"/>
      <c r="I22" s="1067" t="n"/>
      <c r="J22" s="1067" t="n"/>
      <c r="K22" s="1067" t="n"/>
      <c r="L22" s="1067" t="n"/>
      <c r="M22" s="1067" t="n"/>
      <c r="N22" s="1067" t="n"/>
      <c r="O22" s="1067" t="n"/>
      <c r="P22" s="1067" t="n"/>
      <c r="Q22" s="1067" t="n"/>
      <c r="R22" s="1067" t="n"/>
      <c r="S22" s="1067" t="n"/>
      <c r="T22" s="1067" t="n"/>
      <c r="U22" s="1067" t="n"/>
      <c r="V22" s="1067" t="n"/>
      <c r="W22" s="1067" t="n"/>
      <c r="X22" s="1067" t="n"/>
      <c r="Y22" s="1067" t="n"/>
      <c r="Z22" s="1067" t="n"/>
      <c r="AA22" s="1067" t="n"/>
      <c r="AB22" s="1067" t="n"/>
      <c r="AC22" s="1067" t="n"/>
      <c r="AD22" s="1067" t="n"/>
      <c r="AE22" s="1067" t="n"/>
      <c r="AF22" s="1067" t="n"/>
      <c r="AG22" s="1067" t="n"/>
      <c r="AH22" s="1067" t="n"/>
      <c r="AI22" s="1067" t="n"/>
      <c r="AJ22" s="1067" t="n"/>
      <c r="AK22" s="1067" t="n"/>
      <c r="AL22" s="1067" t="n"/>
      <c r="AM22" s="1067" t="n"/>
      <c r="AN22" s="1067" t="n"/>
      <c r="AO22" s="1067" t="n"/>
      <c r="AP22" s="1067" t="n"/>
      <c r="AQ22" s="1067" t="n"/>
      <c r="AR22" s="1067" t="n"/>
      <c r="AS22" s="1067" t="n"/>
      <c r="AT22" s="1067" t="n"/>
      <c r="AU22" s="1067" t="n"/>
      <c r="AV22" s="1067" t="n"/>
      <c r="AW22" s="1068" t="n"/>
      <c r="AX22" s="251" t="n"/>
      <c r="AY22" s="251" t="n"/>
    </row>
    <row r="23" ht="10.5" customHeight="1">
      <c r="A23" s="246" t="n"/>
      <c r="B23" s="1063" t="inlineStr">
        <is>
          <t>買 主</t>
        </is>
      </c>
      <c r="C23" s="1046" t="n"/>
      <c r="D23" s="561" t="inlineStr">
        <is>
          <t>氏  名</t>
        </is>
      </c>
      <c r="E23" s="1045" t="n"/>
      <c r="F23" s="1045" t="n"/>
      <c r="G23" s="1046" t="n"/>
      <c r="H23" s="767" t="inlineStr">
        <is>
          <t>株式会社B&amp;Sエステート</t>
        </is>
      </c>
      <c r="I23" s="1064" t="n"/>
      <c r="J23" s="1064" t="n"/>
      <c r="K23" s="1064" t="n"/>
      <c r="L23" s="1064" t="n"/>
      <c r="M23" s="1064" t="n"/>
      <c r="N23" s="1064" t="n"/>
      <c r="O23" s="1064" t="n"/>
      <c r="P23" s="1064" t="n"/>
      <c r="Q23" s="1064" t="n"/>
      <c r="R23" s="1064" t="n"/>
      <c r="S23" s="1064" t="n"/>
      <c r="T23" s="1064" t="n"/>
      <c r="U23" s="1064" t="n"/>
      <c r="V23" s="1064" t="n"/>
      <c r="W23" s="1064" t="n"/>
      <c r="X23" s="1064" t="n"/>
      <c r="Y23" s="1064" t="n"/>
      <c r="Z23" s="1064" t="n"/>
      <c r="AA23" s="1064" t="n"/>
      <c r="AB23" s="1064" t="n"/>
      <c r="AC23" s="1064" t="n"/>
      <c r="AD23" s="1064" t="n"/>
      <c r="AE23" s="1064" t="n"/>
      <c r="AF23" s="1064" t="n"/>
      <c r="AG23" s="1064" t="n"/>
      <c r="AH23" s="1065" t="n"/>
      <c r="AI23" s="785" t="inlineStr">
        <is>
          <t>TEL：</t>
        </is>
      </c>
      <c r="AJ23" s="1039" t="n"/>
      <c r="AK23" s="1039" t="n"/>
      <c r="AL23" s="1040" t="n"/>
      <c r="AM23" s="791" t="n"/>
      <c r="AN23" s="1064" t="n"/>
      <c r="AO23" s="1064" t="n"/>
      <c r="AP23" s="1064" t="n"/>
      <c r="AQ23" s="1064" t="n"/>
      <c r="AR23" s="1064" t="n"/>
      <c r="AS23" s="1064" t="n"/>
      <c r="AT23" s="1064" t="n"/>
      <c r="AU23" s="1064" t="n"/>
      <c r="AV23" s="1064" t="n"/>
      <c r="AW23" s="1065" t="n"/>
      <c r="AY23" s="244" t="n"/>
      <c r="BA23" s="246" t="n"/>
      <c r="BB23" s="246" t="n"/>
      <c r="BC23" s="246" t="n"/>
      <c r="BD23" s="246" t="n"/>
      <c r="BE23" s="246" t="n"/>
      <c r="BF23" s="246" t="n"/>
      <c r="BG23" s="246" t="n"/>
      <c r="BH23" s="246" t="n"/>
      <c r="BI23" s="246" t="n"/>
      <c r="BJ23" s="246" t="n"/>
      <c r="BK23" s="246" t="n"/>
      <c r="BL23" s="246" t="n"/>
      <c r="BM23" s="246" t="n"/>
      <c r="BN23" s="246" t="n"/>
      <c r="BO23" s="246" t="n"/>
      <c r="BP23" s="246" t="n"/>
      <c r="BQ23" s="246" t="n"/>
      <c r="BR23" s="246" t="n"/>
      <c r="BS23" s="246" t="n"/>
      <c r="BT23" s="246" t="n"/>
      <c r="BU23" s="246" t="n"/>
      <c r="BV23" s="246" t="n"/>
      <c r="BW23" s="246" t="n"/>
      <c r="BX23" s="246" t="n"/>
      <c r="BY23" s="246" t="n"/>
      <c r="BZ23" s="246" t="n"/>
      <c r="CA23" s="246" t="n"/>
      <c r="CB23" s="246" t="n"/>
      <c r="CC23" s="246" t="n"/>
      <c r="CD23" s="246" t="n"/>
    </row>
    <row r="24" ht="10.5" customHeight="1">
      <c r="A24" s="812" t="n"/>
      <c r="B24" s="1061" t="n"/>
      <c r="C24" s="1062" t="n"/>
      <c r="D24" s="1054" t="n"/>
      <c r="E24" s="1055" t="n"/>
      <c r="F24" s="1055" t="n"/>
      <c r="G24" s="1056" t="n"/>
      <c r="H24" s="1066" t="n"/>
      <c r="I24" s="1067" t="n"/>
      <c r="J24" s="1067" t="n"/>
      <c r="K24" s="1067" t="n"/>
      <c r="L24" s="1067" t="n"/>
      <c r="M24" s="1067" t="n"/>
      <c r="N24" s="1067" t="n"/>
      <c r="O24" s="1067" t="n"/>
      <c r="P24" s="1067" t="n"/>
      <c r="Q24" s="1067" t="n"/>
      <c r="R24" s="1067" t="n"/>
      <c r="S24" s="1067" t="n"/>
      <c r="T24" s="1067" t="n"/>
      <c r="U24" s="1067" t="n"/>
      <c r="V24" s="1067" t="n"/>
      <c r="W24" s="1067" t="n"/>
      <c r="X24" s="1067" t="n"/>
      <c r="Y24" s="1067" t="n"/>
      <c r="Z24" s="1067" t="n"/>
      <c r="AA24" s="1067" t="n"/>
      <c r="AB24" s="1067" t="n"/>
      <c r="AC24" s="1067" t="n"/>
      <c r="AD24" s="1067" t="n"/>
      <c r="AE24" s="1067" t="n"/>
      <c r="AF24" s="1067" t="n"/>
      <c r="AG24" s="1067" t="n"/>
      <c r="AH24" s="1068" t="n"/>
      <c r="AI24" s="1049" t="n"/>
      <c r="AJ24" s="1049" t="n"/>
      <c r="AK24" s="1049" t="n"/>
      <c r="AL24" s="1050" t="n"/>
      <c r="AM24" s="1067" t="n"/>
      <c r="AN24" s="1067" t="n"/>
      <c r="AO24" s="1067" t="n"/>
      <c r="AP24" s="1067" t="n"/>
      <c r="AQ24" s="1067" t="n"/>
      <c r="AR24" s="1067" t="n"/>
      <c r="AS24" s="1067" t="n"/>
      <c r="AT24" s="1067" t="n"/>
      <c r="AU24" s="1067" t="n"/>
      <c r="AV24" s="1067" t="n"/>
      <c r="AW24" s="1068" t="n"/>
      <c r="AY24" s="244" t="n"/>
      <c r="BA24" s="246" t="n"/>
      <c r="BB24" s="246" t="n"/>
      <c r="BC24" s="246" t="n"/>
      <c r="BD24" s="246" t="n"/>
      <c r="BE24" s="246" t="n"/>
      <c r="BF24" s="246" t="n"/>
      <c r="BG24" s="246" t="n"/>
      <c r="BH24" s="246" t="n"/>
      <c r="BI24" s="246" t="n"/>
      <c r="BJ24" s="246" t="n"/>
      <c r="BK24" s="246" t="n"/>
      <c r="BL24" s="246" t="n"/>
      <c r="BM24" s="246" t="n"/>
      <c r="BN24" s="246" t="n"/>
      <c r="BO24" s="246" t="n"/>
      <c r="BP24" s="246" t="n"/>
      <c r="BQ24" s="246" t="n"/>
      <c r="BR24" s="246" t="n"/>
      <c r="BS24" s="246" t="n"/>
      <c r="BT24" s="246" t="n"/>
      <c r="BU24" s="246" t="n"/>
      <c r="BV24" s="246" t="n"/>
      <c r="BW24" s="246" t="n"/>
      <c r="BX24" s="246" t="n"/>
      <c r="BY24" s="246" t="n"/>
      <c r="BZ24" s="246" t="n"/>
      <c r="CA24" s="246" t="n"/>
      <c r="CB24" s="246" t="n"/>
      <c r="CC24" s="246" t="n"/>
      <c r="CD24" s="246" t="n"/>
    </row>
    <row r="25" ht="10.5" customHeight="1">
      <c r="A25" s="812" t="n"/>
      <c r="B25" s="1061" t="n"/>
      <c r="C25" s="1062" t="n"/>
      <c r="D25" s="561" t="inlineStr">
        <is>
          <t>住  所</t>
        </is>
      </c>
      <c r="E25" s="1045" t="n"/>
      <c r="F25" s="1045" t="n"/>
      <c r="G25" s="1046" t="n"/>
      <c r="H25" s="767" t="inlineStr">
        <is>
          <t>埼玉県さいたま市大宮区宮町四丁目38番地4</t>
        </is>
      </c>
      <c r="I25" s="1064" t="n"/>
      <c r="J25" s="1064" t="n"/>
      <c r="K25" s="1064" t="n"/>
      <c r="L25" s="1064" t="n"/>
      <c r="M25" s="1064" t="n"/>
      <c r="N25" s="1064" t="n"/>
      <c r="O25" s="1064" t="n"/>
      <c r="P25" s="1064" t="n"/>
      <c r="Q25" s="1064" t="n"/>
      <c r="R25" s="1064" t="n"/>
      <c r="S25" s="1064" t="n"/>
      <c r="T25" s="1064" t="n"/>
      <c r="U25" s="1064" t="n"/>
      <c r="V25" s="1064" t="n"/>
      <c r="W25" s="1064" t="n"/>
      <c r="X25" s="1064" t="n"/>
      <c r="Y25" s="1064" t="n"/>
      <c r="Z25" s="1064" t="n"/>
      <c r="AA25" s="1064" t="n"/>
      <c r="AB25" s="1064" t="n"/>
      <c r="AC25" s="1064" t="n"/>
      <c r="AD25" s="1064" t="n"/>
      <c r="AE25" s="1064" t="n"/>
      <c r="AF25" s="1064" t="n"/>
      <c r="AG25" s="1064" t="n"/>
      <c r="AH25" s="1064" t="n"/>
      <c r="AI25" s="1064" t="n"/>
      <c r="AJ25" s="1064" t="n"/>
      <c r="AK25" s="1064" t="n"/>
      <c r="AL25" s="1064" t="n"/>
      <c r="AM25" s="1064" t="n"/>
      <c r="AN25" s="1064" t="n"/>
      <c r="AO25" s="1064" t="n"/>
      <c r="AP25" s="1064" t="n"/>
      <c r="AQ25" s="1064" t="n"/>
      <c r="AR25" s="1064" t="n"/>
      <c r="AS25" s="1064" t="n"/>
      <c r="AT25" s="1064" t="n"/>
      <c r="AU25" s="1064" t="n"/>
      <c r="AV25" s="1064" t="n"/>
      <c r="AW25" s="1065" t="n"/>
      <c r="AX25" s="253" t="n"/>
      <c r="AY25" s="251" t="n"/>
      <c r="BD25" s="246" t="n"/>
      <c r="BE25" s="246" t="n"/>
      <c r="BF25" s="246" t="n"/>
      <c r="BG25" s="246" t="n"/>
      <c r="BH25" s="246" t="n"/>
      <c r="BI25" s="246" t="n"/>
      <c r="BJ25" s="246" t="n"/>
      <c r="BK25" s="246" t="n"/>
      <c r="BL25" s="246" t="n"/>
      <c r="BM25" s="246" t="n"/>
      <c r="BN25" s="246" t="n"/>
      <c r="BO25" s="246" t="n"/>
      <c r="BP25" s="246" t="n"/>
      <c r="BQ25" s="246" t="n"/>
      <c r="BR25" s="246" t="n"/>
      <c r="BS25" s="246" t="n"/>
      <c r="BT25" s="246" t="n"/>
      <c r="BU25" s="246" t="n"/>
      <c r="BV25" s="246" t="n"/>
      <c r="BW25" s="246" t="n"/>
      <c r="BX25" s="246" t="n"/>
      <c r="BY25" s="246" t="n"/>
      <c r="BZ25" s="246" t="n"/>
      <c r="CA25" s="246" t="n"/>
      <c r="CB25" s="246" t="n"/>
      <c r="CC25" s="246" t="n"/>
      <c r="CD25" s="246" t="n"/>
      <c r="CE25" s="246" t="n"/>
      <c r="CF25" s="246" t="n"/>
      <c r="CG25" s="246" t="n"/>
    </row>
    <row r="26" ht="10.5" customHeight="1">
      <c r="A26" s="812" t="n"/>
      <c r="B26" s="1061" t="n"/>
      <c r="C26" s="1062" t="n"/>
      <c r="D26" s="1054" t="n"/>
      <c r="E26" s="1055" t="n"/>
      <c r="F26" s="1055" t="n"/>
      <c r="G26" s="1056" t="n"/>
      <c r="H26" s="1066" t="n"/>
      <c r="I26" s="1067" t="n"/>
      <c r="J26" s="1067" t="n"/>
      <c r="K26" s="1067" t="n"/>
      <c r="L26" s="1067" t="n"/>
      <c r="M26" s="1067" t="n"/>
      <c r="N26" s="1067" t="n"/>
      <c r="O26" s="1067" t="n"/>
      <c r="P26" s="1067" t="n"/>
      <c r="Q26" s="1067" t="n"/>
      <c r="R26" s="1067" t="n"/>
      <c r="S26" s="1067" t="n"/>
      <c r="T26" s="1067" t="n"/>
      <c r="U26" s="1067" t="n"/>
      <c r="V26" s="1067" t="n"/>
      <c r="W26" s="1067" t="n"/>
      <c r="X26" s="1067" t="n"/>
      <c r="Y26" s="1067" t="n"/>
      <c r="Z26" s="1067" t="n"/>
      <c r="AA26" s="1067" t="n"/>
      <c r="AB26" s="1067" t="n"/>
      <c r="AC26" s="1067" t="n"/>
      <c r="AD26" s="1067" t="n"/>
      <c r="AE26" s="1067" t="n"/>
      <c r="AF26" s="1067" t="n"/>
      <c r="AG26" s="1067" t="n"/>
      <c r="AH26" s="1067" t="n"/>
      <c r="AI26" s="1067" t="n"/>
      <c r="AJ26" s="1067" t="n"/>
      <c r="AK26" s="1067" t="n"/>
      <c r="AL26" s="1067" t="n"/>
      <c r="AM26" s="1067" t="n"/>
      <c r="AN26" s="1067" t="n"/>
      <c r="AO26" s="1067" t="n"/>
      <c r="AP26" s="1067" t="n"/>
      <c r="AQ26" s="1067" t="n"/>
      <c r="AR26" s="1067" t="n"/>
      <c r="AS26" s="1067" t="n"/>
      <c r="AT26" s="1067" t="n"/>
      <c r="AU26" s="1067" t="n"/>
      <c r="AV26" s="1067" t="n"/>
      <c r="AW26" s="1068" t="n"/>
      <c r="AX26" s="253" t="n"/>
      <c r="AY26" s="251" t="n"/>
      <c r="BD26" s="246" t="n"/>
      <c r="BE26" s="246" t="n"/>
      <c r="BF26" s="246" t="n"/>
      <c r="BG26" s="246" t="n"/>
      <c r="BH26" s="246" t="n"/>
      <c r="BI26" s="246" t="n"/>
      <c r="BJ26" s="246" t="n"/>
      <c r="BK26" s="246" t="n"/>
      <c r="BL26" s="246" t="n"/>
      <c r="BM26" s="246" t="n"/>
      <c r="BN26" s="246" t="n"/>
      <c r="BO26" s="246" t="n"/>
      <c r="BP26" s="246" t="n"/>
      <c r="BQ26" s="246" t="n"/>
      <c r="BR26" s="246" t="n"/>
      <c r="BS26" s="246" t="n"/>
      <c r="BT26" s="246" t="n"/>
      <c r="BU26" s="246" t="n"/>
      <c r="BV26" s="246" t="n"/>
      <c r="BW26" s="246" t="n"/>
      <c r="BX26" s="246" t="n"/>
      <c r="BY26" s="246" t="n"/>
      <c r="BZ26" s="246" t="n"/>
      <c r="CA26" s="246" t="n"/>
      <c r="CB26" s="246" t="n"/>
      <c r="CC26" s="246" t="n"/>
      <c r="CD26" s="246" t="n"/>
      <c r="CE26" s="246" t="n"/>
      <c r="CF26" s="246" t="n"/>
      <c r="CG26" s="246" t="n"/>
    </row>
    <row r="27" ht="10.5" customHeight="1">
      <c r="A27" s="246" t="n"/>
      <c r="B27" s="1061" t="n"/>
      <c r="C27" s="1062" t="n"/>
      <c r="D27" s="561" t="inlineStr">
        <is>
          <t>代理人氏名</t>
        </is>
      </c>
      <c r="E27" s="1045" t="n"/>
      <c r="F27" s="1045" t="n"/>
      <c r="G27" s="1046" t="n"/>
      <c r="H27" s="767" t="n"/>
      <c r="I27" s="1064" t="n"/>
      <c r="J27" s="1064" t="n"/>
      <c r="K27" s="1064" t="n"/>
      <c r="L27" s="1064" t="n"/>
      <c r="M27" s="1064" t="n"/>
      <c r="N27" s="1064" t="n"/>
      <c r="O27" s="1064" t="n"/>
      <c r="P27" s="1064" t="n"/>
      <c r="Q27" s="1064" t="n"/>
      <c r="R27" s="1064" t="n"/>
      <c r="S27" s="1064" t="n"/>
      <c r="T27" s="1064" t="n"/>
      <c r="U27" s="1064" t="n"/>
      <c r="V27" s="1064" t="n"/>
      <c r="W27" s="1064" t="n"/>
      <c r="X27" s="1064" t="n"/>
      <c r="Y27" s="1064" t="n"/>
      <c r="Z27" s="1064" t="n"/>
      <c r="AA27" s="1064" t="n"/>
      <c r="AB27" s="1064" t="n"/>
      <c r="AC27" s="1064" t="n"/>
      <c r="AD27" s="1064" t="n"/>
      <c r="AE27" s="1064" t="n"/>
      <c r="AF27" s="1064" t="n"/>
      <c r="AG27" s="1064" t="n"/>
      <c r="AH27" s="1065" t="n"/>
      <c r="AI27" s="785" t="inlineStr">
        <is>
          <t>TEL：</t>
        </is>
      </c>
      <c r="AJ27" s="1039" t="n"/>
      <c r="AK27" s="1039" t="n"/>
      <c r="AL27" s="1040" t="n"/>
      <c r="AM27" s="791" t="n"/>
      <c r="AN27" s="1064" t="n"/>
      <c r="AO27" s="1064" t="n"/>
      <c r="AP27" s="1064" t="n"/>
      <c r="AQ27" s="1064" t="n"/>
      <c r="AR27" s="1064" t="n"/>
      <c r="AS27" s="1064" t="n"/>
      <c r="AT27" s="1064" t="n"/>
      <c r="AU27" s="1064" t="n"/>
      <c r="AV27" s="1064" t="n"/>
      <c r="AW27" s="1065" t="n"/>
      <c r="AX27" s="251" t="n"/>
      <c r="AY27" s="251" t="n"/>
    </row>
    <row r="28" ht="10.5" customHeight="1">
      <c r="A28" s="246" t="n"/>
      <c r="B28" s="1061" t="n"/>
      <c r="C28" s="1062" t="n"/>
      <c r="D28" s="1054" t="n"/>
      <c r="E28" s="1055" t="n"/>
      <c r="F28" s="1055" t="n"/>
      <c r="G28" s="1056" t="n"/>
      <c r="H28" s="1066" t="n"/>
      <c r="I28" s="1067" t="n"/>
      <c r="J28" s="1067" t="n"/>
      <c r="K28" s="1067" t="n"/>
      <c r="L28" s="1067" t="n"/>
      <c r="M28" s="1067" t="n"/>
      <c r="N28" s="1067" t="n"/>
      <c r="O28" s="1067" t="n"/>
      <c r="P28" s="1067" t="n"/>
      <c r="Q28" s="1067" t="n"/>
      <c r="R28" s="1067" t="n"/>
      <c r="S28" s="1067" t="n"/>
      <c r="T28" s="1067" t="n"/>
      <c r="U28" s="1067" t="n"/>
      <c r="V28" s="1067" t="n"/>
      <c r="W28" s="1067" t="n"/>
      <c r="X28" s="1067" t="n"/>
      <c r="Y28" s="1067" t="n"/>
      <c r="Z28" s="1067" t="n"/>
      <c r="AA28" s="1067" t="n"/>
      <c r="AB28" s="1067" t="n"/>
      <c r="AC28" s="1067" t="n"/>
      <c r="AD28" s="1067" t="n"/>
      <c r="AE28" s="1067" t="n"/>
      <c r="AF28" s="1067" t="n"/>
      <c r="AG28" s="1067" t="n"/>
      <c r="AH28" s="1068" t="n"/>
      <c r="AI28" s="1049" t="n"/>
      <c r="AJ28" s="1049" t="n"/>
      <c r="AK28" s="1049" t="n"/>
      <c r="AL28" s="1050" t="n"/>
      <c r="AM28" s="1067" t="n"/>
      <c r="AN28" s="1067" t="n"/>
      <c r="AO28" s="1067" t="n"/>
      <c r="AP28" s="1067" t="n"/>
      <c r="AQ28" s="1067" t="n"/>
      <c r="AR28" s="1067" t="n"/>
      <c r="AS28" s="1067" t="n"/>
      <c r="AT28" s="1067" t="n"/>
      <c r="AU28" s="1067" t="n"/>
      <c r="AV28" s="1067" t="n"/>
      <c r="AW28" s="1068" t="n"/>
      <c r="AX28" s="251" t="n"/>
      <c r="AY28" s="251" t="n"/>
    </row>
    <row r="29" ht="10.5" customHeight="1">
      <c r="A29" s="246" t="n"/>
      <c r="B29" s="1061" t="n"/>
      <c r="C29" s="1062" t="n"/>
      <c r="D29" s="561" t="inlineStr">
        <is>
          <t>代理人住所</t>
        </is>
      </c>
      <c r="E29" s="1045" t="n"/>
      <c r="F29" s="1045" t="n"/>
      <c r="G29" s="1046" t="n"/>
      <c r="H29" s="767" t="n"/>
      <c r="I29" s="1064" t="n"/>
      <c r="J29" s="1064" t="n"/>
      <c r="K29" s="1064" t="n"/>
      <c r="L29" s="1064" t="n"/>
      <c r="M29" s="1064" t="n"/>
      <c r="N29" s="1064" t="n"/>
      <c r="O29" s="1064" t="n"/>
      <c r="P29" s="1064" t="n"/>
      <c r="Q29" s="1064" t="n"/>
      <c r="R29" s="1064" t="n"/>
      <c r="S29" s="1064" t="n"/>
      <c r="T29" s="1064" t="n"/>
      <c r="U29" s="1064" t="n"/>
      <c r="V29" s="1064" t="n"/>
      <c r="W29" s="1064" t="n"/>
      <c r="X29" s="1064" t="n"/>
      <c r="Y29" s="1064" t="n"/>
      <c r="Z29" s="1064" t="n"/>
      <c r="AA29" s="1064" t="n"/>
      <c r="AB29" s="1064" t="n"/>
      <c r="AC29" s="1064" t="n"/>
      <c r="AD29" s="1064" t="n"/>
      <c r="AE29" s="1064" t="n"/>
      <c r="AF29" s="1064" t="n"/>
      <c r="AG29" s="1064" t="n"/>
      <c r="AH29" s="1064" t="n"/>
      <c r="AI29" s="1064" t="n"/>
      <c r="AJ29" s="1064" t="n"/>
      <c r="AK29" s="1064" t="n"/>
      <c r="AL29" s="1064" t="n"/>
      <c r="AM29" s="1064" t="n"/>
      <c r="AN29" s="1064" t="n"/>
      <c r="AO29" s="1064" t="n"/>
      <c r="AP29" s="1064" t="n"/>
      <c r="AQ29" s="1064" t="n"/>
      <c r="AR29" s="1064" t="n"/>
      <c r="AS29" s="1064" t="n"/>
      <c r="AT29" s="1064" t="n"/>
      <c r="AU29" s="1064" t="n"/>
      <c r="AV29" s="1064" t="n"/>
      <c r="AW29" s="1065" t="n"/>
      <c r="AX29" s="251" t="n"/>
      <c r="AY29" s="251" t="n"/>
    </row>
    <row r="30" ht="10.5" customHeight="1">
      <c r="A30" s="246" t="n"/>
      <c r="B30" s="1054" t="n"/>
      <c r="C30" s="1056" t="n"/>
      <c r="D30" s="1054" t="n"/>
      <c r="E30" s="1055" t="n"/>
      <c r="F30" s="1055" t="n"/>
      <c r="G30" s="1056" t="n"/>
      <c r="H30" s="1066" t="n"/>
      <c r="I30" s="1067" t="n"/>
      <c r="J30" s="1067" t="n"/>
      <c r="K30" s="1067" t="n"/>
      <c r="L30" s="1067" t="n"/>
      <c r="M30" s="1067" t="n"/>
      <c r="N30" s="1067" t="n"/>
      <c r="O30" s="1067" t="n"/>
      <c r="P30" s="1067" t="n"/>
      <c r="Q30" s="1067" t="n"/>
      <c r="R30" s="1067" t="n"/>
      <c r="S30" s="1067" t="n"/>
      <c r="T30" s="1067" t="n"/>
      <c r="U30" s="1067" t="n"/>
      <c r="V30" s="1067" t="n"/>
      <c r="W30" s="1067" t="n"/>
      <c r="X30" s="1067" t="n"/>
      <c r="Y30" s="1067" t="n"/>
      <c r="Z30" s="1067" t="n"/>
      <c r="AA30" s="1067" t="n"/>
      <c r="AB30" s="1067" t="n"/>
      <c r="AC30" s="1067" t="n"/>
      <c r="AD30" s="1067" t="n"/>
      <c r="AE30" s="1067" t="n"/>
      <c r="AF30" s="1067" t="n"/>
      <c r="AG30" s="1067" t="n"/>
      <c r="AH30" s="1067" t="n"/>
      <c r="AI30" s="1067" t="n"/>
      <c r="AJ30" s="1067" t="n"/>
      <c r="AK30" s="1067" t="n"/>
      <c r="AL30" s="1067" t="n"/>
      <c r="AM30" s="1067" t="n"/>
      <c r="AN30" s="1067" t="n"/>
      <c r="AO30" s="1067" t="n"/>
      <c r="AP30" s="1067" t="n"/>
      <c r="AQ30" s="1067" t="n"/>
      <c r="AR30" s="1067" t="n"/>
      <c r="AS30" s="1067" t="n"/>
      <c r="AT30" s="1067" t="n"/>
      <c r="AU30" s="1067" t="n"/>
      <c r="AV30" s="1067" t="n"/>
      <c r="AW30" s="1068" t="n"/>
      <c r="AX30" s="251" t="n"/>
      <c r="AY30" s="251" t="n"/>
    </row>
    <row r="31" ht="10.5" customHeight="1">
      <c r="A31" s="246" t="n"/>
      <c r="B31" s="566" t="n"/>
      <c r="C31" s="566" t="n"/>
      <c r="D31" s="566" t="n"/>
      <c r="E31" s="566" t="n"/>
      <c r="F31" s="566" t="n"/>
      <c r="G31" s="566" t="n"/>
      <c r="H31" s="255" t="n"/>
      <c r="I31" s="255" t="n"/>
      <c r="J31" s="255" t="n"/>
      <c r="K31" s="255" t="n"/>
      <c r="L31" s="255" t="n"/>
      <c r="M31" s="255" t="n"/>
      <c r="N31" s="255" t="n"/>
      <c r="O31" s="255" t="n"/>
      <c r="P31" s="255" t="n"/>
      <c r="Q31" s="255" t="n"/>
      <c r="R31" s="255" t="n"/>
      <c r="S31" s="255" t="n"/>
      <c r="T31" s="255" t="n"/>
      <c r="U31" s="255" t="n"/>
      <c r="V31" s="255" t="n"/>
      <c r="W31" s="255" t="n"/>
      <c r="X31" s="255" t="n"/>
      <c r="Y31" s="255" t="n"/>
      <c r="Z31" s="255" t="n"/>
      <c r="AA31" s="255" t="n"/>
      <c r="AB31" s="255" t="n"/>
      <c r="AC31" s="255" t="n"/>
      <c r="AD31" s="255" t="n"/>
      <c r="AE31" s="255" t="n"/>
      <c r="AF31" s="255" t="n"/>
      <c r="AG31" s="255" t="n"/>
      <c r="AH31" s="255" t="n"/>
      <c r="AI31" s="780" t="n"/>
      <c r="AJ31" s="780" t="n"/>
      <c r="AK31" s="780" t="n"/>
      <c r="AL31" s="780" t="n"/>
      <c r="AM31" s="256" t="n"/>
      <c r="AN31" s="256" t="n"/>
      <c r="AO31" s="256" t="n"/>
      <c r="AP31" s="256" t="n"/>
      <c r="AQ31" s="256" t="n"/>
      <c r="AR31" s="256" t="n"/>
      <c r="AS31" s="256" t="n"/>
      <c r="AT31" s="256" t="n"/>
      <c r="AU31" s="256" t="n"/>
      <c r="AV31" s="256" t="n"/>
      <c r="AW31" s="256" t="n"/>
      <c r="AX31" s="246" t="n"/>
      <c r="AY31" s="246" t="n"/>
      <c r="AZ31" s="246" t="n"/>
      <c r="BA31" s="246" t="n"/>
      <c r="BB31" s="246" t="n"/>
      <c r="BC31" s="246" t="n"/>
      <c r="BD31" s="246" t="n"/>
      <c r="BE31" s="246" t="n"/>
      <c r="BF31" s="246" t="n"/>
      <c r="BG31" s="246" t="n"/>
      <c r="BH31" s="246" t="n"/>
      <c r="BI31" s="246" t="n"/>
      <c r="BJ31" s="246" t="n"/>
      <c r="BK31" s="246" t="n"/>
      <c r="BL31" s="246" t="n"/>
      <c r="BM31" s="246" t="n"/>
      <c r="BN31" s="246" t="n"/>
      <c r="BO31" s="246" t="n"/>
      <c r="BP31" s="246" t="n"/>
      <c r="BQ31" s="246" t="n"/>
      <c r="BR31" s="246" t="n"/>
      <c r="BS31" s="246" t="n"/>
      <c r="BT31" s="246" t="n"/>
      <c r="BU31" s="246" t="n"/>
      <c r="BV31" s="246" t="n"/>
      <c r="BW31" s="246" t="n"/>
      <c r="BX31" s="246" t="n"/>
      <c r="BY31" s="246" t="n"/>
      <c r="BZ31" s="246" t="n"/>
      <c r="CA31" s="246" t="n"/>
      <c r="CB31" s="246" t="n"/>
      <c r="CC31" s="246" t="n"/>
      <c r="CD31" s="246" t="n"/>
      <c r="CE31" s="246" t="n"/>
      <c r="CF31" s="246" t="n"/>
      <c r="CG31" s="246" t="n"/>
    </row>
    <row r="32" ht="10.5" customHeight="1">
      <c r="A32" s="246" t="n"/>
      <c r="B32" s="1063" t="inlineStr">
        <is>
          <t>土 地</t>
        </is>
      </c>
      <c r="C32" s="1046" t="n"/>
      <c r="D32" s="695" t="inlineStr">
        <is>
          <t>所在・地番</t>
        </is>
      </c>
      <c r="E32" s="1039" t="n"/>
      <c r="F32" s="1039" t="n"/>
      <c r="G32" s="1040" t="n"/>
      <c r="H32" s="1069">
        <f>①物件情報入力シート!C4</f>
        <v/>
      </c>
      <c r="I32" s="1042" t="n"/>
      <c r="J32" s="1042" t="n"/>
      <c r="K32" s="1042" t="n"/>
      <c r="L32" s="1042" t="n"/>
      <c r="M32" s="1042" t="n"/>
      <c r="N32" s="1042" t="n"/>
      <c r="O32" s="1042" t="n"/>
      <c r="P32" s="1042" t="n"/>
      <c r="Q32" s="1042" t="n"/>
      <c r="R32" s="1042" t="n"/>
      <c r="S32" s="1042" t="n"/>
      <c r="T32" s="1042" t="n"/>
      <c r="U32" s="1042" t="n"/>
      <c r="V32" s="1042" t="n"/>
      <c r="W32" s="1042" t="n"/>
      <c r="X32" s="1042" t="n"/>
      <c r="Y32" s="1042" t="n"/>
      <c r="Z32" s="1042" t="n"/>
      <c r="AA32" s="1042" t="n"/>
      <c r="AB32" s="1042" t="n"/>
      <c r="AC32" s="1042" t="n"/>
      <c r="AD32" s="1042" t="n"/>
      <c r="AE32" s="1042" t="n"/>
      <c r="AF32" s="1042" t="n"/>
      <c r="AG32" s="1042" t="n"/>
      <c r="AH32" s="1042" t="n"/>
      <c r="AI32" s="1042" t="n"/>
      <c r="AJ32" s="1042" t="n"/>
      <c r="AK32" s="1042" t="n"/>
      <c r="AL32" s="1042" t="n"/>
      <c r="AM32" s="1042" t="n"/>
      <c r="AN32" s="1042" t="n"/>
      <c r="AO32" s="1042" t="n"/>
      <c r="AP32" s="1042" t="n"/>
      <c r="AQ32" s="1042" t="n"/>
      <c r="AR32" s="1042" t="n"/>
      <c r="AS32" s="1042" t="n"/>
      <c r="AT32" s="1042" t="n"/>
      <c r="AU32" s="1042" t="n"/>
      <c r="AV32" s="1042" t="n"/>
      <c r="AW32" s="1043" t="n"/>
      <c r="AX32" s="246" t="n"/>
      <c r="AY32" s="246" t="n"/>
      <c r="AZ32" s="246" t="n"/>
      <c r="BA32" s="246" t="n"/>
      <c r="BB32" s="246" t="n"/>
      <c r="BC32" s="246" t="n"/>
      <c r="BD32" s="246" t="n"/>
      <c r="BE32" s="246" t="n"/>
      <c r="BF32" s="246" t="n"/>
      <c r="BG32" s="246" t="n"/>
      <c r="BH32" s="246" t="n"/>
      <c r="BI32" s="246" t="n"/>
      <c r="BJ32" s="246" t="n"/>
      <c r="BK32" s="246" t="n"/>
      <c r="BL32" s="246" t="n"/>
      <c r="BM32" s="246" t="n"/>
      <c r="BN32" s="246" t="n"/>
      <c r="BO32" s="246" t="n"/>
      <c r="BP32" s="246" t="n"/>
      <c r="BQ32" s="246" t="n"/>
      <c r="BR32" s="246" t="n"/>
      <c r="BS32" s="246" t="n"/>
      <c r="BT32" s="246" t="n"/>
      <c r="BU32" s="246" t="n"/>
      <c r="BV32" s="246" t="n"/>
      <c r="BW32" s="246" t="n"/>
      <c r="BX32" s="246" t="n"/>
      <c r="BY32" s="246" t="n"/>
      <c r="BZ32" s="246" t="n"/>
      <c r="CA32" s="246" t="n"/>
      <c r="CB32" s="246" t="n"/>
      <c r="CC32" s="246" t="n"/>
      <c r="CD32" s="246" t="n"/>
      <c r="CE32" s="246" t="n"/>
      <c r="CF32" s="246" t="n"/>
      <c r="CG32" s="246" t="n"/>
    </row>
    <row r="33" ht="10.5" customHeight="1">
      <c r="A33" s="246" t="n"/>
      <c r="B33" s="1061" t="n"/>
      <c r="C33" s="1062" t="n"/>
      <c r="D33" s="1048" t="n"/>
      <c r="E33" s="1049" t="n"/>
      <c r="F33" s="1049" t="n"/>
      <c r="G33" s="1050" t="n"/>
      <c r="H33" s="1051" t="n"/>
      <c r="I33" s="1052" t="n"/>
      <c r="J33" s="1052" t="n"/>
      <c r="K33" s="1052" t="n"/>
      <c r="L33" s="1052" t="n"/>
      <c r="M33" s="1052" t="n"/>
      <c r="N33" s="1052" t="n"/>
      <c r="O33" s="1052" t="n"/>
      <c r="P33" s="1052" t="n"/>
      <c r="Q33" s="1052" t="n"/>
      <c r="R33" s="1052" t="n"/>
      <c r="S33" s="1052" t="n"/>
      <c r="T33" s="1052" t="n"/>
      <c r="U33" s="1052" t="n"/>
      <c r="V33" s="1052" t="n"/>
      <c r="W33" s="1052" t="n"/>
      <c r="X33" s="1052" t="n"/>
      <c r="Y33" s="1052" t="n"/>
      <c r="Z33" s="1052" t="n"/>
      <c r="AA33" s="1052" t="n"/>
      <c r="AB33" s="1052" t="n"/>
      <c r="AC33" s="1052" t="n"/>
      <c r="AD33" s="1052" t="n"/>
      <c r="AE33" s="1052" t="n"/>
      <c r="AF33" s="1052" t="n"/>
      <c r="AG33" s="1052" t="n"/>
      <c r="AH33" s="1052" t="n"/>
      <c r="AI33" s="1052" t="n"/>
      <c r="AJ33" s="1052" t="n"/>
      <c r="AK33" s="1052" t="n"/>
      <c r="AL33" s="1052" t="n"/>
      <c r="AM33" s="1052" t="n"/>
      <c r="AN33" s="1052" t="n"/>
      <c r="AO33" s="1052" t="n"/>
      <c r="AP33" s="1052" t="n"/>
      <c r="AQ33" s="1052" t="n"/>
      <c r="AR33" s="1052" t="n"/>
      <c r="AS33" s="1052" t="n"/>
      <c r="AT33" s="1052" t="n"/>
      <c r="AU33" s="1052" t="n"/>
      <c r="AV33" s="1052" t="n"/>
      <c r="AW33" s="1053" t="n"/>
      <c r="AX33" s="246" t="n"/>
      <c r="AY33" s="246" t="n"/>
      <c r="AZ33" s="246" t="n"/>
      <c r="BA33" s="246" t="n"/>
      <c r="BB33" s="246" t="n"/>
      <c r="BC33" s="246" t="n"/>
      <c r="BD33" s="246" t="n"/>
      <c r="BE33" s="246" t="n"/>
      <c r="BF33" s="246" t="n"/>
      <c r="BG33" s="246" t="n"/>
      <c r="BH33" s="246" t="n"/>
      <c r="BI33" s="246" t="n"/>
      <c r="BJ33" s="246" t="n"/>
      <c r="BK33" s="246" t="n"/>
      <c r="BL33" s="246" t="n"/>
      <c r="BM33" s="246" t="n"/>
      <c r="BN33" s="246" t="n"/>
      <c r="BO33" s="246" t="n"/>
      <c r="BP33" s="246" t="n"/>
      <c r="BQ33" s="246" t="n"/>
      <c r="BR33" s="246" t="n"/>
      <c r="BS33" s="246" t="n"/>
      <c r="BT33" s="246" t="n"/>
      <c r="BU33" s="246" t="n"/>
      <c r="BV33" s="246" t="n"/>
      <c r="BW33" s="246" t="n"/>
      <c r="BX33" s="246" t="n"/>
      <c r="BY33" s="246" t="n"/>
      <c r="BZ33" s="246" t="n"/>
      <c r="CA33" s="246" t="n"/>
      <c r="CB33" s="246" t="n"/>
      <c r="CC33" s="246" t="n"/>
      <c r="CD33" s="246" t="n"/>
      <c r="CE33" s="246" t="n"/>
      <c r="CF33" s="246" t="n"/>
      <c r="CG33" s="246" t="n"/>
    </row>
    <row r="34" ht="10.5" customHeight="1">
      <c r="A34" s="246" t="n"/>
      <c r="B34" s="1061" t="n"/>
      <c r="C34" s="1062" t="n"/>
      <c r="D34" s="695" t="inlineStr">
        <is>
          <t>権利種類</t>
        </is>
      </c>
      <c r="E34" s="1039" t="n"/>
      <c r="F34" s="1039" t="n"/>
      <c r="G34" s="1040" t="n"/>
      <c r="H34" s="1070" t="inlineStr">
        <is>
          <t>■</t>
        </is>
      </c>
      <c r="I34" s="1071" t="inlineStr">
        <is>
          <t>所有権</t>
        </is>
      </c>
      <c r="J34" s="1045" t="n"/>
      <c r="K34" s="1045" t="n"/>
      <c r="L34" s="1045" t="n"/>
      <c r="M34" s="1072" t="inlineStr">
        <is>
          <t>□</t>
        </is>
      </c>
      <c r="N34" s="1071" t="inlineStr">
        <is>
          <t>借地権（賃借権）</t>
        </is>
      </c>
      <c r="O34" s="1045" t="n"/>
      <c r="P34" s="1045" t="n"/>
      <c r="Q34" s="1045" t="n"/>
      <c r="R34" s="1045" t="n"/>
      <c r="S34" s="1045" t="n"/>
      <c r="T34" s="1045" t="n"/>
      <c r="U34" s="1045" t="n"/>
      <c r="V34" s="1072" t="inlineStr">
        <is>
          <t>□</t>
        </is>
      </c>
      <c r="W34" s="1073" t="inlineStr">
        <is>
          <t>借地権（地上権）</t>
        </is>
      </c>
      <c r="X34" s="1045" t="n"/>
      <c r="Y34" s="1045" t="n"/>
      <c r="Z34" s="1045" t="n"/>
      <c r="AA34" s="1045" t="n"/>
      <c r="AB34" s="1045" t="n"/>
      <c r="AC34" s="1045" t="n"/>
      <c r="AD34" s="1046" t="n"/>
      <c r="AE34" s="1074" t="inlineStr">
        <is>
          <t>地　目</t>
        </is>
      </c>
      <c r="AF34" s="1045" t="n"/>
      <c r="AG34" s="1045" t="n"/>
      <c r="AH34" s="1046" t="n"/>
      <c r="AI34" s="1075" t="inlineStr">
        <is>
          <t>公簿</t>
        </is>
      </c>
      <c r="AJ34" s="1046" t="n"/>
      <c r="AK34" s="1076" t="inlineStr">
        <is>
          <t>宅地</t>
        </is>
      </c>
      <c r="AL34" s="1042" t="n"/>
      <c r="AM34" s="1042" t="n"/>
      <c r="AN34" s="1042" t="n"/>
      <c r="AO34" s="1042" t="n"/>
      <c r="AP34" s="1075" t="inlineStr">
        <is>
          <t>現況</t>
        </is>
      </c>
      <c r="AQ34" s="1046" t="n"/>
      <c r="AR34" s="1047" t="inlineStr">
        <is>
          <t>宅地</t>
        </is>
      </c>
      <c r="AS34" s="1042" t="n"/>
      <c r="AT34" s="1042" t="n"/>
      <c r="AU34" s="1042" t="n"/>
      <c r="AV34" s="1042" t="n"/>
      <c r="AW34" s="1043" t="n"/>
      <c r="AX34" s="246" t="n"/>
      <c r="AY34" s="246" t="n"/>
      <c r="AZ34" s="246" t="n"/>
      <c r="BA34" s="246" t="n"/>
      <c r="BB34" s="246" t="n"/>
      <c r="BC34" s="246" t="n"/>
      <c r="BD34" s="246" t="n"/>
      <c r="BE34" s="246" t="n"/>
      <c r="BF34" s="246" t="n"/>
      <c r="BG34" s="246" t="n"/>
      <c r="BH34" s="246" t="n"/>
      <c r="BI34" s="246" t="n"/>
      <c r="BJ34" s="246" t="n"/>
      <c r="BK34" s="246" t="n"/>
      <c r="BL34" s="246" t="n"/>
      <c r="BM34" s="246" t="n"/>
      <c r="BN34" s="246" t="n"/>
      <c r="BO34" s="246" t="n"/>
      <c r="BP34" s="246" t="n"/>
      <c r="BQ34" s="246" t="n"/>
      <c r="BR34" s="246" t="n"/>
      <c r="BS34" s="246" t="n"/>
      <c r="BT34" s="246" t="n"/>
      <c r="BU34" s="246" t="n"/>
      <c r="BV34" s="246" t="n"/>
      <c r="BW34" s="246" t="n"/>
      <c r="BX34" s="246" t="n"/>
      <c r="BY34" s="246" t="n"/>
      <c r="BZ34" s="246" t="n"/>
      <c r="CA34" s="246" t="n"/>
      <c r="CB34" s="246" t="n"/>
      <c r="CC34" s="246" t="n"/>
      <c r="CD34" s="246" t="n"/>
      <c r="CE34" s="246" t="n"/>
      <c r="CF34" s="246" t="n"/>
      <c r="CG34" s="246" t="n"/>
    </row>
    <row r="35" ht="10.5" customHeight="1">
      <c r="A35" s="246" t="n"/>
      <c r="B35" s="1061" t="n"/>
      <c r="C35" s="1062" t="n"/>
      <c r="D35" s="1048" t="n"/>
      <c r="E35" s="1049" t="n"/>
      <c r="F35" s="1049" t="n"/>
      <c r="G35" s="1050" t="n"/>
      <c r="H35" s="1051" t="n"/>
      <c r="I35" s="1055" t="n"/>
      <c r="J35" s="1055" t="n"/>
      <c r="K35" s="1055" t="n"/>
      <c r="L35" s="1055" t="n"/>
      <c r="M35" s="1052" t="n"/>
      <c r="N35" s="1055" t="n"/>
      <c r="O35" s="1055" t="n"/>
      <c r="P35" s="1055" t="n"/>
      <c r="Q35" s="1055" t="n"/>
      <c r="R35" s="1055" t="n"/>
      <c r="S35" s="1055" t="n"/>
      <c r="T35" s="1055" t="n"/>
      <c r="U35" s="1055" t="n"/>
      <c r="V35" s="1052" t="n"/>
      <c r="W35" s="1055" t="n"/>
      <c r="X35" s="1055" t="n"/>
      <c r="Y35" s="1055" t="n"/>
      <c r="Z35" s="1055" t="n"/>
      <c r="AA35" s="1055" t="n"/>
      <c r="AB35" s="1055" t="n"/>
      <c r="AC35" s="1055" t="n"/>
      <c r="AD35" s="1056" t="n"/>
      <c r="AE35" s="1054" t="n"/>
      <c r="AF35" s="1055" t="n"/>
      <c r="AG35" s="1055" t="n"/>
      <c r="AH35" s="1056" t="n"/>
      <c r="AI35" s="1054" t="n"/>
      <c r="AJ35" s="1056" t="n"/>
      <c r="AK35" s="1052" t="n"/>
      <c r="AL35" s="1052" t="n"/>
      <c r="AM35" s="1052" t="n"/>
      <c r="AN35" s="1052" t="n"/>
      <c r="AO35" s="1052" t="n"/>
      <c r="AP35" s="1054" t="n"/>
      <c r="AQ35" s="1056" t="n"/>
      <c r="AR35" s="1051" t="n"/>
      <c r="AS35" s="1052" t="n"/>
      <c r="AT35" s="1052" t="n"/>
      <c r="AU35" s="1052" t="n"/>
      <c r="AV35" s="1052" t="n"/>
      <c r="AW35" s="1053" t="n"/>
      <c r="AX35" s="246" t="n"/>
      <c r="AY35" s="246" t="n"/>
      <c r="AZ35" s="246" t="n"/>
      <c r="BA35" s="246" t="n"/>
      <c r="BB35" s="246" t="n"/>
      <c r="BC35" s="246" t="n"/>
      <c r="BD35" s="246" t="n"/>
      <c r="BE35" s="246" t="n"/>
      <c r="BF35" s="246" t="n"/>
      <c r="BG35" s="246" t="n"/>
      <c r="BH35" s="246" t="n"/>
      <c r="BI35" s="246" t="n"/>
      <c r="BJ35" s="246" t="n"/>
      <c r="BK35" s="246" t="n"/>
      <c r="BL35" s="246" t="n"/>
      <c r="BM35" s="246" t="n"/>
      <c r="BN35" s="246" t="n"/>
      <c r="BO35" s="246" t="n"/>
      <c r="BP35" s="246" t="n"/>
      <c r="BQ35" s="246" t="n"/>
      <c r="BR35" s="246" t="n"/>
      <c r="BS35" s="246" t="n"/>
      <c r="BT35" s="246" t="n"/>
      <c r="BU35" s="246" t="n"/>
      <c r="BV35" s="246" t="n"/>
      <c r="BW35" s="246" t="n"/>
      <c r="BX35" s="246" t="n"/>
      <c r="BY35" s="246" t="n"/>
      <c r="BZ35" s="246" t="n"/>
      <c r="CA35" s="246" t="n"/>
      <c r="CB35" s="246" t="n"/>
      <c r="CC35" s="246" t="n"/>
      <c r="CD35" s="246" t="n"/>
      <c r="CE35" s="246" t="n"/>
      <c r="CF35" s="246" t="n"/>
      <c r="CG35" s="246" t="n"/>
    </row>
    <row r="36" ht="10.5" customHeight="1">
      <c r="A36" s="246" t="n"/>
      <c r="B36" s="1061" t="n"/>
      <c r="C36" s="1062" t="n"/>
      <c r="D36" s="695" t="inlineStr">
        <is>
          <t>地  積</t>
        </is>
      </c>
      <c r="E36" s="1039" t="n"/>
      <c r="F36" s="1039" t="n"/>
      <c r="G36" s="1040" t="n"/>
      <c r="H36" s="605" t="inlineStr">
        <is>
          <t>（登記簿）</t>
        </is>
      </c>
      <c r="M36" s="781">
        <f>①物件情報入力シート!C5</f>
        <v/>
      </c>
      <c r="N36" s="939" t="n"/>
      <c r="O36" s="939" t="n"/>
      <c r="P36" s="939" t="n"/>
      <c r="Q36" s="939" t="n"/>
      <c r="R36" s="939" t="n"/>
      <c r="S36" s="939" t="n"/>
      <c r="T36" s="939" t="n"/>
      <c r="U36" s="939" t="n"/>
      <c r="V36" s="939" t="n"/>
      <c r="W36" s="939" t="n"/>
      <c r="X36" s="939" t="n"/>
      <c r="Y36" s="939" t="n"/>
      <c r="Z36" s="939" t="n"/>
      <c r="AA36" s="782" t="inlineStr">
        <is>
          <t>㎡</t>
        </is>
      </c>
      <c r="AB36" s="1062" t="n"/>
      <c r="AC36" s="779" t="inlineStr">
        <is>
          <t>（実  測）</t>
        </is>
      </c>
      <c r="AH36" s="678" t="n"/>
      <c r="AI36" s="1042" t="n"/>
      <c r="AJ36" s="1042" t="n"/>
      <c r="AK36" s="1042" t="n"/>
      <c r="AL36" s="1042" t="n"/>
      <c r="AM36" s="1042" t="n"/>
      <c r="AN36" s="1042" t="n"/>
      <c r="AO36" s="1042" t="n"/>
      <c r="AP36" s="1042" t="n"/>
      <c r="AQ36" s="1042" t="n"/>
      <c r="AR36" s="1042" t="n"/>
      <c r="AS36" s="1042" t="n"/>
      <c r="AT36" s="1042" t="n"/>
      <c r="AU36" s="1042" t="n"/>
      <c r="AV36" s="675" t="inlineStr">
        <is>
          <t>㎡</t>
        </is>
      </c>
      <c r="AW36" s="1046" t="n"/>
      <c r="AX36" s="246" t="n"/>
      <c r="AY36" s="246" t="n"/>
      <c r="AZ36" s="246" t="n"/>
      <c r="BA36" s="246" t="n"/>
      <c r="BB36" s="246" t="n"/>
      <c r="BC36" s="246" t="n"/>
      <c r="BD36" s="246" t="n"/>
      <c r="BE36" s="246" t="n"/>
      <c r="BF36" s="246" t="n"/>
      <c r="BG36" s="246" t="n"/>
      <c r="BH36" s="246" t="n"/>
      <c r="BI36" s="246" t="n"/>
      <c r="BJ36" s="246" t="n"/>
      <c r="BK36" s="246" t="n"/>
      <c r="BL36" s="246" t="n"/>
      <c r="BM36" s="246" t="n"/>
      <c r="BN36" s="246" t="n"/>
      <c r="BO36" s="246" t="n"/>
      <c r="BP36" s="246" t="n"/>
      <c r="BQ36" s="246" t="n"/>
      <c r="BR36" s="246" t="n"/>
      <c r="BS36" s="246" t="n"/>
      <c r="BT36" s="246" t="n"/>
      <c r="BU36" s="246" t="n"/>
      <c r="BV36" s="246" t="n"/>
      <c r="BW36" s="246" t="n"/>
      <c r="BX36" s="246" t="n"/>
      <c r="BY36" s="246" t="n"/>
      <c r="BZ36" s="246" t="n"/>
      <c r="CA36" s="246" t="n"/>
      <c r="CB36" s="246" t="n"/>
      <c r="CC36" s="246" t="n"/>
      <c r="CD36" s="246" t="n"/>
      <c r="CE36" s="246" t="n"/>
      <c r="CF36" s="246" t="n"/>
      <c r="CG36" s="246" t="n"/>
    </row>
    <row r="37" ht="10.5" customHeight="1">
      <c r="A37" s="246" t="n"/>
      <c r="B37" s="1061" t="n"/>
      <c r="C37" s="1062" t="n"/>
      <c r="D37" s="1048" t="n"/>
      <c r="E37" s="1049" t="n"/>
      <c r="F37" s="1049" t="n"/>
      <c r="G37" s="1050" t="n"/>
      <c r="H37" s="1054" t="n"/>
      <c r="I37" s="1055" t="n"/>
      <c r="J37" s="1055" t="n"/>
      <c r="K37" s="1055" t="n"/>
      <c r="L37" s="1055" t="n"/>
      <c r="M37" s="939" t="n"/>
      <c r="N37" s="939" t="n"/>
      <c r="O37" s="939" t="n"/>
      <c r="P37" s="939" t="n"/>
      <c r="Q37" s="939" t="n"/>
      <c r="R37" s="939" t="n"/>
      <c r="S37" s="939" t="n"/>
      <c r="T37" s="939" t="n"/>
      <c r="U37" s="939" t="n"/>
      <c r="V37" s="939" t="n"/>
      <c r="W37" s="939" t="n"/>
      <c r="X37" s="939" t="n"/>
      <c r="Y37" s="939" t="n"/>
      <c r="Z37" s="939" t="n"/>
      <c r="AB37" s="1062" t="n"/>
      <c r="AC37" s="1061" t="n"/>
      <c r="AH37" s="939" t="n"/>
      <c r="AI37" s="939" t="n"/>
      <c r="AJ37" s="939" t="n"/>
      <c r="AK37" s="939" t="n"/>
      <c r="AL37" s="939" t="n"/>
      <c r="AM37" s="939" t="n"/>
      <c r="AN37" s="939" t="n"/>
      <c r="AO37" s="939" t="n"/>
      <c r="AP37" s="939" t="n"/>
      <c r="AQ37" s="939" t="n"/>
      <c r="AR37" s="939" t="n"/>
      <c r="AS37" s="939" t="n"/>
      <c r="AT37" s="939" t="n"/>
      <c r="AU37" s="939" t="n"/>
      <c r="AW37" s="1062" t="n"/>
      <c r="AX37" s="246" t="n"/>
      <c r="AY37" s="246" t="n"/>
      <c r="AZ37" s="246" t="n"/>
      <c r="BA37" s="246" t="n"/>
      <c r="BB37" s="246" t="n"/>
      <c r="BC37" s="246" t="n"/>
      <c r="BD37" s="246" t="n"/>
      <c r="BE37" s="246" t="n"/>
      <c r="BF37" s="246" t="n"/>
      <c r="BG37" s="246" t="n"/>
      <c r="BH37" s="246" t="n"/>
      <c r="BI37" s="246" t="n"/>
      <c r="BJ37" s="246" t="n"/>
      <c r="BK37" s="246" t="n"/>
      <c r="BL37" s="246" t="n"/>
      <c r="BM37" s="246" t="n"/>
      <c r="BN37" s="246" t="n"/>
      <c r="BO37" s="246" t="n"/>
      <c r="BP37" s="246" t="n"/>
      <c r="BQ37" s="246" t="n"/>
      <c r="BR37" s="246" t="n"/>
      <c r="BS37" s="246" t="n"/>
      <c r="BT37" s="246" t="n"/>
      <c r="BU37" s="246" t="n"/>
      <c r="BV37" s="246" t="n"/>
      <c r="BW37" s="246" t="n"/>
      <c r="BX37" s="246" t="n"/>
      <c r="BY37" s="246" t="n"/>
      <c r="BZ37" s="246" t="n"/>
      <c r="CA37" s="246" t="n"/>
      <c r="CB37" s="246" t="n"/>
      <c r="CC37" s="246" t="n"/>
      <c r="CD37" s="246" t="n"/>
      <c r="CE37" s="246" t="n"/>
      <c r="CF37" s="246" t="n"/>
      <c r="CG37" s="246" t="n"/>
    </row>
    <row r="38" ht="10.5" customHeight="1">
      <c r="A38" s="246" t="n"/>
      <c r="B38" s="1061" t="n"/>
      <c r="C38" s="1062" t="n"/>
      <c r="D38" s="1077" t="inlineStr">
        <is>
          <t>借地権の場合 借地対象面積</t>
        </is>
      </c>
      <c r="E38" s="1045" t="n"/>
      <c r="F38" s="1045" t="n"/>
      <c r="G38" s="1045" t="n"/>
      <c r="H38" s="1045" t="n"/>
      <c r="I38" s="1045" t="n"/>
      <c r="J38" s="1045" t="n"/>
      <c r="K38" s="1045" t="n"/>
      <c r="L38" s="1045" t="n"/>
      <c r="M38" s="1045" t="n"/>
      <c r="N38" s="1046" t="n"/>
      <c r="O38" s="1078" t="inlineStr">
        <is>
          <t>-</t>
        </is>
      </c>
      <c r="P38" s="1042" t="n"/>
      <c r="Q38" s="1042" t="n"/>
      <c r="R38" s="1042" t="n"/>
      <c r="S38" s="1042" t="n"/>
      <c r="T38" s="1042" t="n"/>
      <c r="U38" s="1042" t="n"/>
      <c r="V38" s="1042" t="n"/>
      <c r="W38" s="1042" t="n"/>
      <c r="X38" s="1042" t="n"/>
      <c r="Y38" s="1042" t="n"/>
      <c r="Z38" s="1042" t="n"/>
      <c r="AA38" s="1073" t="inlineStr">
        <is>
          <t>㎡</t>
        </is>
      </c>
      <c r="AB38" s="1046" t="n"/>
      <c r="AC38" s="257" t="n"/>
      <c r="AD38" s="257" t="n"/>
      <c r="AE38" s="257" t="n"/>
      <c r="AF38" s="257" t="n"/>
      <c r="AG38" s="257" t="n"/>
      <c r="AH38" s="257" t="n"/>
      <c r="AI38" s="257" t="n"/>
      <c r="AJ38" s="257" t="n"/>
      <c r="AK38" s="257" t="n"/>
      <c r="AL38" s="257" t="n"/>
      <c r="AM38" s="257" t="n"/>
      <c r="AN38" s="257" t="n"/>
      <c r="AO38" s="257" t="n"/>
      <c r="AP38" s="257" t="n"/>
      <c r="AQ38" s="257" t="n"/>
      <c r="AR38" s="257" t="n"/>
      <c r="AS38" s="257" t="n"/>
      <c r="AT38" s="257" t="n"/>
      <c r="AU38" s="257" t="n"/>
      <c r="AV38" s="258" t="n"/>
      <c r="AW38" s="259" t="n"/>
      <c r="AX38" s="246" t="n"/>
      <c r="AY38" s="246" t="n"/>
      <c r="AZ38" s="246" t="n"/>
      <c r="BA38" s="246" t="n"/>
      <c r="BB38" s="246" t="n"/>
      <c r="BC38" s="246" t="n"/>
      <c r="BD38" s="246" t="n"/>
      <c r="BE38" s="246" t="n"/>
      <c r="BF38" s="246" t="n"/>
      <c r="BG38" s="246" t="n"/>
      <c r="BH38" s="246" t="n"/>
      <c r="BI38" s="246" t="n"/>
      <c r="BJ38" s="246" t="n"/>
      <c r="BK38" s="246" t="n"/>
      <c r="BL38" s="246" t="n"/>
      <c r="BM38" s="246" t="n"/>
      <c r="BN38" s="246" t="n"/>
      <c r="BO38" s="246" t="n"/>
      <c r="BP38" s="246" t="n"/>
      <c r="BQ38" s="246" t="n"/>
      <c r="BR38" s="246" t="n"/>
      <c r="BS38" s="246" t="n"/>
      <c r="BT38" s="246" t="n"/>
      <c r="BU38" s="246" t="n"/>
      <c r="BV38" s="246" t="n"/>
      <c r="BW38" s="246" t="n"/>
      <c r="BX38" s="246" t="n"/>
      <c r="BY38" s="246" t="n"/>
      <c r="BZ38" s="246" t="n"/>
      <c r="CA38" s="246" t="n"/>
      <c r="CB38" s="246" t="n"/>
      <c r="CC38" s="246" t="n"/>
      <c r="CD38" s="246" t="n"/>
      <c r="CE38" s="246" t="n"/>
      <c r="CF38" s="246" t="n"/>
      <c r="CG38" s="246" t="n"/>
    </row>
    <row r="39" ht="10.5" customHeight="1">
      <c r="A39" s="246" t="n"/>
      <c r="B39" s="1061" t="n"/>
      <c r="C39" s="1062" t="n"/>
      <c r="D39" s="1054" t="n"/>
      <c r="E39" s="1055" t="n"/>
      <c r="F39" s="1055" t="n"/>
      <c r="G39" s="1055" t="n"/>
      <c r="H39" s="1055" t="n"/>
      <c r="I39" s="1055" t="n"/>
      <c r="J39" s="1055" t="n"/>
      <c r="K39" s="1055" t="n"/>
      <c r="L39" s="1055" t="n"/>
      <c r="M39" s="1055" t="n"/>
      <c r="N39" s="1056" t="n"/>
      <c r="O39" s="1051" t="n"/>
      <c r="P39" s="1052" t="n"/>
      <c r="Q39" s="1052" t="n"/>
      <c r="R39" s="1052" t="n"/>
      <c r="S39" s="1052" t="n"/>
      <c r="T39" s="1052" t="n"/>
      <c r="U39" s="1052" t="n"/>
      <c r="V39" s="1052" t="n"/>
      <c r="W39" s="1052" t="n"/>
      <c r="X39" s="1052" t="n"/>
      <c r="Y39" s="1052" t="n"/>
      <c r="Z39" s="1052" t="n"/>
      <c r="AA39" s="1055" t="n"/>
      <c r="AB39" s="1056" t="n"/>
      <c r="AC39" s="260" t="n"/>
      <c r="AD39" s="260" t="n"/>
      <c r="AE39" s="260" t="n"/>
      <c r="AF39" s="260" t="n"/>
      <c r="AG39" s="260" t="n"/>
      <c r="AH39" s="260" t="n"/>
      <c r="AI39" s="260" t="n"/>
      <c r="AJ39" s="260" t="n"/>
      <c r="AK39" s="260" t="n"/>
      <c r="AL39" s="260" t="n"/>
      <c r="AM39" s="260" t="n"/>
      <c r="AN39" s="260" t="n"/>
      <c r="AO39" s="260" t="n"/>
      <c r="AP39" s="260" t="n"/>
      <c r="AQ39" s="260" t="n"/>
      <c r="AR39" s="260" t="n"/>
      <c r="AS39" s="260" t="n"/>
      <c r="AT39" s="260" t="n"/>
      <c r="AU39" s="260" t="n"/>
      <c r="AV39" s="261" t="n"/>
      <c r="AW39" s="262" t="n"/>
      <c r="AX39" s="246" t="n"/>
      <c r="AY39" s="246" t="n"/>
      <c r="AZ39" s="246" t="n"/>
      <c r="BA39" s="246" t="n"/>
      <c r="BB39" s="246" t="n"/>
      <c r="BC39" s="246" t="n"/>
      <c r="BD39" s="246" t="n"/>
      <c r="BE39" s="246" t="n"/>
      <c r="BF39" s="246" t="n"/>
      <c r="BG39" s="246" t="n"/>
      <c r="BH39" s="246" t="n"/>
      <c r="BI39" s="246" t="n"/>
      <c r="BJ39" s="246" t="n"/>
      <c r="BK39" s="246" t="n"/>
      <c r="BL39" s="246" t="n"/>
      <c r="BM39" s="246" t="n"/>
      <c r="BN39" s="246" t="n"/>
      <c r="BO39" s="246" t="n"/>
      <c r="BP39" s="246" t="n"/>
      <c r="BQ39" s="246" t="n"/>
      <c r="BR39" s="246" t="n"/>
      <c r="BS39" s="246" t="n"/>
      <c r="BT39" s="246" t="n"/>
      <c r="BU39" s="246" t="n"/>
      <c r="BV39" s="246" t="n"/>
      <c r="BW39" s="246" t="n"/>
      <c r="BX39" s="246" t="n"/>
      <c r="BY39" s="246" t="n"/>
      <c r="BZ39" s="246" t="n"/>
      <c r="CA39" s="246" t="n"/>
      <c r="CB39" s="246" t="n"/>
      <c r="CC39" s="246" t="n"/>
      <c r="CD39" s="246" t="n"/>
      <c r="CE39" s="246" t="n"/>
      <c r="CF39" s="246" t="n"/>
      <c r="CG39" s="246" t="n"/>
    </row>
    <row r="40" ht="10.5" customHeight="1">
      <c r="A40" s="246" t="n"/>
      <c r="B40" s="1061" t="n"/>
      <c r="C40" s="1062" t="n"/>
      <c r="D40" s="695" t="inlineStr">
        <is>
          <t>都市計画</t>
        </is>
      </c>
      <c r="E40" s="1039" t="n"/>
      <c r="F40" s="1039" t="n"/>
      <c r="G40" s="1040" t="n"/>
      <c r="H40" s="1079" t="inlineStr">
        <is>
          <t>市街化区域</t>
        </is>
      </c>
      <c r="I40" s="1042" t="n"/>
      <c r="J40" s="1042" t="n"/>
      <c r="K40" s="1042" t="n"/>
      <c r="L40" s="1042" t="n"/>
      <c r="M40" s="1042" t="n"/>
      <c r="N40" s="1042" t="n"/>
      <c r="O40" s="1042" t="n"/>
      <c r="P40" s="1042" t="n"/>
      <c r="Q40" s="1042" t="n"/>
      <c r="R40" s="1042" t="n"/>
      <c r="S40" s="1042" t="n"/>
      <c r="T40" s="1042" t="n"/>
      <c r="U40" s="1042" t="n"/>
      <c r="V40" s="1042" t="n"/>
      <c r="W40" s="1043" t="n"/>
      <c r="X40" s="732" t="inlineStr">
        <is>
          <t>用途地域</t>
        </is>
      </c>
      <c r="AA40" s="1080" t="n"/>
      <c r="AB40" s="1081">
        <f>①物件情報入力シート!C6</f>
        <v/>
      </c>
      <c r="AC40" s="939" t="n"/>
      <c r="AD40" s="939" t="n"/>
      <c r="AE40" s="939" t="n"/>
      <c r="AF40" s="939" t="n"/>
      <c r="AG40" s="939" t="n"/>
      <c r="AH40" s="939" t="n"/>
      <c r="AI40" s="939" t="n"/>
      <c r="AJ40" s="939" t="n"/>
      <c r="AK40" s="939" t="n"/>
      <c r="AL40" s="939" t="n"/>
      <c r="AM40" s="939" t="n"/>
      <c r="AN40" s="939" t="n"/>
      <c r="AO40" s="939" t="n"/>
      <c r="AP40" s="939" t="n"/>
      <c r="AQ40" s="939" t="n"/>
      <c r="AR40" s="939" t="n"/>
      <c r="AS40" s="939" t="n"/>
      <c r="AT40" s="939" t="n"/>
      <c r="AU40" s="939" t="n"/>
      <c r="AV40" s="939" t="n"/>
      <c r="AW40" s="1060" t="n"/>
      <c r="AX40" s="246" t="n"/>
      <c r="AY40" s="246" t="n"/>
      <c r="AZ40" s="246" t="n"/>
      <c r="BA40" s="246" t="n"/>
      <c r="BB40" s="246" t="n"/>
      <c r="BC40" s="246" t="n"/>
      <c r="BD40" s="246" t="n"/>
      <c r="BE40" s="246" t="n"/>
      <c r="BF40" s="246" t="n"/>
      <c r="BG40" s="246" t="n"/>
      <c r="BH40" s="246" t="n"/>
      <c r="BI40" s="246" t="n"/>
      <c r="BJ40" s="246" t="n"/>
      <c r="BK40" s="246" t="n"/>
      <c r="BL40" s="246" t="n"/>
      <c r="BM40" s="246" t="n"/>
      <c r="BN40" s="246" t="n"/>
      <c r="BO40" s="246" t="n"/>
      <c r="BP40" s="246" t="n"/>
      <c r="BQ40" s="246" t="n"/>
      <c r="BR40" s="246" t="n"/>
      <c r="BS40" s="246" t="n"/>
      <c r="BT40" s="246" t="n"/>
      <c r="BU40" s="246" t="n"/>
      <c r="BV40" s="246" t="n"/>
      <c r="BW40" s="246" t="n"/>
      <c r="BX40" s="246" t="n"/>
      <c r="BY40" s="246" t="n"/>
      <c r="BZ40" s="246" t="n"/>
      <c r="CA40" s="246" t="n"/>
      <c r="CB40" s="246" t="n"/>
      <c r="CC40" s="246" t="n"/>
      <c r="CD40" s="246" t="n"/>
      <c r="CE40" s="246" t="n"/>
      <c r="CF40" s="246" t="n"/>
      <c r="CG40" s="246" t="n"/>
    </row>
    <row r="41" ht="10.5" customHeight="1">
      <c r="A41" s="246" t="n"/>
      <c r="B41" s="1061" t="n"/>
      <c r="C41" s="1062" t="n"/>
      <c r="D41" s="1048" t="n"/>
      <c r="E41" s="1049" t="n"/>
      <c r="F41" s="1049" t="n"/>
      <c r="G41" s="1050" t="n"/>
      <c r="H41" s="1082" t="n"/>
      <c r="I41" s="939" t="n"/>
      <c r="J41" s="939" t="n"/>
      <c r="K41" s="939" t="n"/>
      <c r="L41" s="939" t="n"/>
      <c r="M41" s="939" t="n"/>
      <c r="N41" s="939" t="n"/>
      <c r="O41" s="939" t="n"/>
      <c r="P41" s="939" t="n"/>
      <c r="Q41" s="939" t="n"/>
      <c r="R41" s="939" t="n"/>
      <c r="S41" s="939" t="n"/>
      <c r="T41" s="939" t="n"/>
      <c r="U41" s="939" t="n"/>
      <c r="V41" s="939" t="n"/>
      <c r="W41" s="1060" t="n"/>
      <c r="X41" s="1048" t="n"/>
      <c r="Y41" s="1049" t="n"/>
      <c r="Z41" s="1049" t="n"/>
      <c r="AA41" s="1050" t="n"/>
      <c r="AB41" s="1082" t="n"/>
      <c r="AC41" s="939" t="n"/>
      <c r="AD41" s="939" t="n"/>
      <c r="AE41" s="939" t="n"/>
      <c r="AF41" s="939" t="n"/>
      <c r="AG41" s="939" t="n"/>
      <c r="AH41" s="939" t="n"/>
      <c r="AI41" s="939" t="n"/>
      <c r="AJ41" s="939" t="n"/>
      <c r="AK41" s="939" t="n"/>
      <c r="AL41" s="939" t="n"/>
      <c r="AM41" s="939" t="n"/>
      <c r="AN41" s="939" t="n"/>
      <c r="AO41" s="939" t="n"/>
      <c r="AP41" s="939" t="n"/>
      <c r="AQ41" s="939" t="n"/>
      <c r="AR41" s="939" t="n"/>
      <c r="AS41" s="939" t="n"/>
      <c r="AT41" s="939" t="n"/>
      <c r="AU41" s="939" t="n"/>
      <c r="AV41" s="939" t="n"/>
      <c r="AW41" s="1060" t="n"/>
      <c r="AX41" s="246" t="n"/>
      <c r="AY41" s="246" t="n"/>
      <c r="AZ41" s="246" t="n"/>
      <c r="BA41" s="246" t="n"/>
      <c r="BB41" s="246" t="n"/>
      <c r="BC41" s="246" t="n"/>
      <c r="BD41" s="246" t="n"/>
      <c r="BE41" s="246" t="n"/>
      <c r="BF41" s="246" t="n"/>
      <c r="BG41" s="246" t="n"/>
      <c r="BH41" s="246" t="n"/>
      <c r="BI41" s="246" t="n"/>
      <c r="BJ41" s="246" t="n"/>
      <c r="BK41" s="246" t="n"/>
      <c r="BL41" s="246" t="n"/>
      <c r="BM41" s="246" t="n"/>
      <c r="BN41" s="246" t="n"/>
      <c r="BO41" s="246" t="n"/>
      <c r="BP41" s="246" t="n"/>
      <c r="BQ41" s="246" t="n"/>
      <c r="BR41" s="246" t="n"/>
      <c r="BS41" s="246" t="n"/>
      <c r="BT41" s="246" t="n"/>
      <c r="BU41" s="246" t="n"/>
      <c r="BV41" s="246" t="n"/>
      <c r="BW41" s="246" t="n"/>
      <c r="BX41" s="246" t="n"/>
      <c r="BY41" s="246" t="n"/>
      <c r="BZ41" s="246" t="n"/>
      <c r="CA41" s="246" t="n"/>
      <c r="CB41" s="246" t="n"/>
      <c r="CC41" s="246" t="n"/>
      <c r="CD41" s="246" t="n"/>
      <c r="CE41" s="246" t="n"/>
      <c r="CF41" s="246" t="n"/>
      <c r="CG41" s="246" t="n"/>
    </row>
    <row r="42" ht="10.5" customHeight="1">
      <c r="A42" s="246" t="n"/>
      <c r="B42" s="1061" t="n"/>
      <c r="C42" s="1062" t="n"/>
      <c r="D42" s="1077" t="inlineStr">
        <is>
          <t>地域・地区・街区</t>
        </is>
      </c>
      <c r="E42" s="1045" t="n"/>
      <c r="F42" s="1045" t="n"/>
      <c r="G42" s="1045" t="n"/>
      <c r="H42" s="1045" t="n"/>
      <c r="I42" s="1045" t="n"/>
      <c r="J42" s="1046" t="n"/>
      <c r="K42" s="560" t="n"/>
      <c r="L42" s="1042" t="n"/>
      <c r="M42" s="1042" t="n"/>
      <c r="N42" s="1042" t="n"/>
      <c r="O42" s="1042" t="n"/>
      <c r="P42" s="1042" t="n"/>
      <c r="Q42" s="1042" t="n"/>
      <c r="R42" s="1042" t="n"/>
      <c r="S42" s="1042" t="n"/>
      <c r="T42" s="1042" t="n"/>
      <c r="U42" s="1042" t="n"/>
      <c r="V42" s="1042" t="n"/>
      <c r="W42" s="1042" t="n"/>
      <c r="X42" s="1042" t="n"/>
      <c r="Y42" s="1042" t="n"/>
      <c r="Z42" s="1042" t="n"/>
      <c r="AA42" s="1043" t="n"/>
      <c r="AB42" s="695" t="inlineStr">
        <is>
          <t>建蔽率</t>
        </is>
      </c>
      <c r="AC42" s="1039" t="n"/>
      <c r="AD42" s="1039" t="n"/>
      <c r="AE42" s="1040" t="n"/>
      <c r="AF42" s="1083">
        <f>①物件情報入力シート!C7</f>
        <v/>
      </c>
      <c r="AG42" s="1042" t="n"/>
      <c r="AH42" s="1042" t="n"/>
      <c r="AI42" s="1042" t="n"/>
      <c r="AJ42" s="1042" t="n"/>
      <c r="AK42" s="1073" t="inlineStr">
        <is>
          <t>％</t>
        </is>
      </c>
      <c r="AL42" s="1046" t="n"/>
      <c r="AM42" s="695" t="inlineStr">
        <is>
          <t>容積率</t>
        </is>
      </c>
      <c r="AN42" s="1039" t="n"/>
      <c r="AO42" s="1039" t="n"/>
      <c r="AP42" s="1040" t="n"/>
      <c r="AQ42" s="1083">
        <f>①物件情報入力シート!C8</f>
        <v/>
      </c>
      <c r="AR42" s="1042" t="n"/>
      <c r="AS42" s="1042" t="n"/>
      <c r="AT42" s="1042" t="n"/>
      <c r="AU42" s="1042" t="n"/>
      <c r="AV42" s="1073" t="inlineStr">
        <is>
          <t>％</t>
        </is>
      </c>
      <c r="AW42" s="1046" t="n"/>
      <c r="AX42" s="246" t="n"/>
      <c r="AY42" s="246" t="n"/>
      <c r="AZ42" s="246" t="n"/>
      <c r="BA42" s="246" t="n"/>
      <c r="BB42" s="246" t="n"/>
      <c r="BC42" s="246" t="n"/>
      <c r="BD42" s="246" t="n"/>
      <c r="BE42" s="246" t="n"/>
      <c r="BF42" s="246" t="n"/>
      <c r="BG42" s="246" t="n"/>
      <c r="BH42" s="246" t="n"/>
      <c r="BI42" s="246" t="n"/>
      <c r="BJ42" s="246" t="n"/>
      <c r="BK42" s="246" t="n"/>
      <c r="BL42" s="246" t="n"/>
      <c r="BM42" s="246" t="n"/>
      <c r="BN42" s="246" t="n"/>
      <c r="BO42" s="246" t="n"/>
      <c r="BP42" s="246" t="n"/>
      <c r="BQ42" s="246" t="n"/>
      <c r="BR42" s="246" t="n"/>
      <c r="BS42" s="246" t="n"/>
      <c r="BT42" s="246" t="n"/>
      <c r="BU42" s="246" t="n"/>
      <c r="BV42" s="246" t="n"/>
      <c r="BW42" s="246" t="n"/>
      <c r="BX42" s="246" t="n"/>
      <c r="BY42" s="246" t="n"/>
      <c r="BZ42" s="246" t="n"/>
      <c r="CA42" s="246" t="n"/>
      <c r="CB42" s="246" t="n"/>
      <c r="CC42" s="246" t="n"/>
      <c r="CD42" s="246" t="n"/>
      <c r="CE42" s="246" t="n"/>
      <c r="CF42" s="246" t="n"/>
      <c r="CG42" s="246" t="n"/>
    </row>
    <row r="43" ht="10.5" customHeight="1">
      <c r="A43" s="246" t="n"/>
      <c r="B43" s="1061" t="n"/>
      <c r="C43" s="1062" t="n"/>
      <c r="D43" s="1054" t="n"/>
      <c r="E43" s="1055" t="n"/>
      <c r="F43" s="1055" t="n"/>
      <c r="G43" s="1055" t="n"/>
      <c r="H43" s="1055" t="n"/>
      <c r="I43" s="1055" t="n"/>
      <c r="J43" s="1056" t="n"/>
      <c r="K43" s="1051" t="n"/>
      <c r="L43" s="1052" t="n"/>
      <c r="M43" s="1052" t="n"/>
      <c r="N43" s="1052" t="n"/>
      <c r="O43" s="1052" t="n"/>
      <c r="P43" s="1052" t="n"/>
      <c r="Q43" s="1052" t="n"/>
      <c r="R43" s="1052" t="n"/>
      <c r="S43" s="1052" t="n"/>
      <c r="T43" s="1052" t="n"/>
      <c r="U43" s="1052" t="n"/>
      <c r="V43" s="1052" t="n"/>
      <c r="W43" s="1052" t="n"/>
      <c r="X43" s="1052" t="n"/>
      <c r="Y43" s="1052" t="n"/>
      <c r="Z43" s="1052" t="n"/>
      <c r="AA43" s="1053" t="n"/>
      <c r="AB43" s="1048" t="n"/>
      <c r="AC43" s="1049" t="n"/>
      <c r="AD43" s="1049" t="n"/>
      <c r="AE43" s="1050" t="n"/>
      <c r="AF43" s="1051" t="n"/>
      <c r="AG43" s="1052" t="n"/>
      <c r="AH43" s="1052" t="n"/>
      <c r="AI43" s="1052" t="n"/>
      <c r="AJ43" s="1052" t="n"/>
      <c r="AK43" s="1055" t="n"/>
      <c r="AL43" s="1056" t="n"/>
      <c r="AM43" s="1048" t="n"/>
      <c r="AN43" s="1049" t="n"/>
      <c r="AO43" s="1049" t="n"/>
      <c r="AP43" s="1050" t="n"/>
      <c r="AQ43" s="1051" t="n"/>
      <c r="AR43" s="1052" t="n"/>
      <c r="AS43" s="1052" t="n"/>
      <c r="AT43" s="1052" t="n"/>
      <c r="AU43" s="1052" t="n"/>
      <c r="AV43" s="1055" t="n"/>
      <c r="AW43" s="1056" t="n"/>
      <c r="AX43" s="246" t="n"/>
      <c r="AY43" s="246" t="n"/>
      <c r="AZ43" s="246" t="n"/>
      <c r="BA43" s="246" t="n"/>
      <c r="BB43" s="246" t="n"/>
      <c r="BC43" s="246" t="n"/>
      <c r="BD43" s="246" t="n"/>
      <c r="BE43" s="246" t="n"/>
      <c r="BF43" s="246" t="n"/>
      <c r="BG43" s="246" t="n"/>
      <c r="BH43" s="246" t="n"/>
      <c r="BI43" s="246" t="n"/>
      <c r="BJ43" s="246" t="n"/>
      <c r="BK43" s="246" t="n"/>
      <c r="BL43" s="246" t="n"/>
      <c r="BM43" s="246" t="n"/>
      <c r="BN43" s="246" t="n"/>
      <c r="BO43" s="246" t="n"/>
      <c r="BP43" s="246" t="n"/>
      <c r="BQ43" s="246" t="n"/>
      <c r="BR43" s="246" t="n"/>
      <c r="BS43" s="246" t="n"/>
      <c r="BT43" s="246" t="n"/>
      <c r="BU43" s="246" t="n"/>
      <c r="BV43" s="246" t="n"/>
      <c r="BW43" s="246" t="n"/>
      <c r="BX43" s="246" t="n"/>
      <c r="BY43" s="246" t="n"/>
      <c r="BZ43" s="246" t="n"/>
      <c r="CA43" s="246" t="n"/>
      <c r="CB43" s="246" t="n"/>
      <c r="CC43" s="246" t="n"/>
      <c r="CD43" s="246" t="n"/>
      <c r="CE43" s="246" t="n"/>
      <c r="CF43" s="246" t="n"/>
      <c r="CG43" s="246" t="n"/>
    </row>
    <row r="44" ht="10.5" customHeight="1">
      <c r="A44" s="246" t="n"/>
      <c r="B44" s="1061" t="n"/>
      <c r="C44" s="1062" t="n"/>
      <c r="D44" s="1074" t="inlineStr">
        <is>
          <t>形  状</t>
        </is>
      </c>
      <c r="E44" s="1045" t="n"/>
      <c r="F44" s="1045" t="n"/>
      <c r="G44" s="1046" t="n"/>
      <c r="H44" s="1084" t="inlineStr">
        <is>
          <t>整形地</t>
        </is>
      </c>
      <c r="I44" s="1042" t="n"/>
      <c r="J44" s="1042" t="n"/>
      <c r="K44" s="1042" t="n"/>
      <c r="L44" s="1042" t="n"/>
      <c r="M44" s="1042" t="n"/>
      <c r="N44" s="1042" t="n"/>
      <c r="O44" s="1042" t="n"/>
      <c r="P44" s="1042" t="n"/>
      <c r="Q44" s="1042" t="n"/>
      <c r="R44" s="1042" t="n"/>
      <c r="S44" s="1042" t="n"/>
      <c r="T44" s="1042" t="n"/>
      <c r="U44" s="1042" t="n"/>
      <c r="V44" s="1042" t="n"/>
      <c r="W44" s="1042" t="n"/>
      <c r="X44" s="1042" t="n"/>
      <c r="Y44" s="1042" t="n"/>
      <c r="Z44" s="1042" t="n"/>
      <c r="AA44" s="1042" t="n"/>
      <c r="AB44" s="1042" t="n"/>
      <c r="AC44" s="1042" t="n"/>
      <c r="AD44" s="1042" t="n"/>
      <c r="AE44" s="1042" t="n"/>
      <c r="AF44" s="1042" t="n"/>
      <c r="AG44" s="1042" t="n"/>
      <c r="AH44" s="1042" t="n"/>
      <c r="AI44" s="1042" t="n"/>
      <c r="AJ44" s="1042" t="n"/>
      <c r="AK44" s="1042" t="n"/>
      <c r="AL44" s="1042" t="n"/>
      <c r="AM44" s="1042" t="n"/>
      <c r="AN44" s="1042" t="n"/>
      <c r="AO44" s="1042" t="n"/>
      <c r="AP44" s="1042" t="n"/>
      <c r="AQ44" s="1042" t="n"/>
      <c r="AR44" s="1042" t="n"/>
      <c r="AS44" s="1042" t="n"/>
      <c r="AT44" s="1042" t="n"/>
      <c r="AU44" s="1042" t="n"/>
      <c r="AV44" s="1042" t="n"/>
      <c r="AW44" s="1043" t="n"/>
      <c r="AX44" s="246" t="n"/>
      <c r="AY44" s="246" t="n"/>
      <c r="AZ44" s="246" t="n"/>
      <c r="BA44" s="246" t="n"/>
      <c r="BB44" s="246" t="n"/>
      <c r="BC44" s="246" t="n"/>
      <c r="BD44" s="246" t="n"/>
      <c r="BE44" s="246" t="n"/>
      <c r="BF44" s="246" t="n"/>
      <c r="BG44" s="246" t="n"/>
      <c r="BH44" s="246" t="n"/>
      <c r="BI44" s="246" t="n"/>
      <c r="BJ44" s="246" t="n"/>
      <c r="BK44" s="246" t="n"/>
      <c r="BL44" s="246" t="n"/>
      <c r="BM44" s="246" t="n"/>
      <c r="BN44" s="246" t="n"/>
      <c r="BO44" s="246" t="n"/>
      <c r="BP44" s="246" t="n"/>
      <c r="BQ44" s="246" t="n"/>
      <c r="BR44" s="246" t="n"/>
      <c r="BS44" s="246" t="n"/>
      <c r="BT44" s="246" t="n"/>
      <c r="BU44" s="246" t="n"/>
      <c r="BV44" s="246" t="n"/>
      <c r="BW44" s="246" t="n"/>
      <c r="BX44" s="246" t="n"/>
      <c r="BY44" s="246" t="n"/>
      <c r="BZ44" s="246" t="n"/>
      <c r="CA44" s="246" t="n"/>
      <c r="CB44" s="246" t="n"/>
      <c r="CC44" s="246" t="n"/>
      <c r="CD44" s="246" t="n"/>
      <c r="CE44" s="246" t="n"/>
      <c r="CF44" s="246" t="n"/>
      <c r="CG44" s="246" t="n"/>
    </row>
    <row r="45" ht="10.5" customHeight="1">
      <c r="A45" s="246" t="n"/>
      <c r="B45" s="1061" t="n"/>
      <c r="C45" s="1062" t="n"/>
      <c r="D45" s="1054" t="n"/>
      <c r="E45" s="1055" t="n"/>
      <c r="F45" s="1055" t="n"/>
      <c r="G45" s="1056" t="n"/>
      <c r="H45" s="1051" t="n"/>
      <c r="I45" s="1052" t="n"/>
      <c r="J45" s="1052" t="n"/>
      <c r="K45" s="1052" t="n"/>
      <c r="L45" s="1052" t="n"/>
      <c r="M45" s="1052" t="n"/>
      <c r="N45" s="1052" t="n"/>
      <c r="O45" s="1052" t="n"/>
      <c r="P45" s="1052" t="n"/>
      <c r="Q45" s="1052" t="n"/>
      <c r="R45" s="1052" t="n"/>
      <c r="S45" s="1052" t="n"/>
      <c r="T45" s="1052" t="n"/>
      <c r="U45" s="1052" t="n"/>
      <c r="V45" s="1052" t="n"/>
      <c r="W45" s="1052" t="n"/>
      <c r="X45" s="1052" t="n"/>
      <c r="Y45" s="1052" t="n"/>
      <c r="Z45" s="1052" t="n"/>
      <c r="AA45" s="1052" t="n"/>
      <c r="AB45" s="1052" t="n"/>
      <c r="AC45" s="1052" t="n"/>
      <c r="AD45" s="1052" t="n"/>
      <c r="AE45" s="1052" t="n"/>
      <c r="AF45" s="1052" t="n"/>
      <c r="AG45" s="1052" t="n"/>
      <c r="AH45" s="1052" t="n"/>
      <c r="AI45" s="1052" t="n"/>
      <c r="AJ45" s="1052" t="n"/>
      <c r="AK45" s="1052" t="n"/>
      <c r="AL45" s="1052" t="n"/>
      <c r="AM45" s="1052" t="n"/>
      <c r="AN45" s="1052" t="n"/>
      <c r="AO45" s="1052" t="n"/>
      <c r="AP45" s="1052" t="n"/>
      <c r="AQ45" s="1052" t="n"/>
      <c r="AR45" s="1052" t="n"/>
      <c r="AS45" s="1052" t="n"/>
      <c r="AT45" s="1052" t="n"/>
      <c r="AU45" s="1052" t="n"/>
      <c r="AV45" s="1052" t="n"/>
      <c r="AW45" s="1053" t="n"/>
      <c r="AX45" s="246" t="n"/>
      <c r="AY45" s="246" t="n"/>
      <c r="AZ45" s="246" t="n"/>
      <c r="BA45" s="246" t="n"/>
      <c r="BB45" s="246" t="n"/>
      <c r="BC45" s="246" t="n"/>
      <c r="BD45" s="246" t="n"/>
      <c r="BE45" s="246" t="n"/>
      <c r="BF45" s="246" t="n"/>
      <c r="BG45" s="246" t="n"/>
      <c r="BH45" s="246" t="n"/>
      <c r="BI45" s="246" t="n"/>
      <c r="BJ45" s="246" t="n"/>
      <c r="BK45" s="246" t="n"/>
      <c r="BL45" s="246" t="n"/>
      <c r="BM45" s="246" t="n"/>
      <c r="BN45" s="246" t="n"/>
      <c r="BO45" s="246" t="n"/>
      <c r="BP45" s="246" t="n"/>
      <c r="BQ45" s="246" t="n"/>
      <c r="BR45" s="246" t="n"/>
      <c r="BS45" s="246" t="n"/>
      <c r="BT45" s="246" t="n"/>
      <c r="BU45" s="246" t="n"/>
      <c r="BV45" s="246" t="n"/>
      <c r="BW45" s="246" t="n"/>
      <c r="BX45" s="246" t="n"/>
      <c r="BY45" s="246" t="n"/>
      <c r="BZ45" s="246" t="n"/>
      <c r="CA45" s="246" t="n"/>
      <c r="CB45" s="246" t="n"/>
      <c r="CC45" s="246" t="n"/>
      <c r="CD45" s="246" t="n"/>
      <c r="CE45" s="246" t="n"/>
      <c r="CF45" s="246" t="n"/>
      <c r="CG45" s="246" t="n"/>
    </row>
    <row r="46" ht="10.5" customHeight="1">
      <c r="A46" s="246" t="n"/>
      <c r="B46" s="1061" t="n"/>
      <c r="C46" s="1062" t="n"/>
      <c r="D46" s="1074" t="inlineStr">
        <is>
          <t>位  置</t>
        </is>
      </c>
      <c r="E46" s="1045" t="n"/>
      <c r="F46" s="1045" t="n"/>
      <c r="G46" s="1046" t="n"/>
      <c r="H46" s="1084" t="inlineStr">
        <is>
          <t>間口6.0m</t>
        </is>
      </c>
      <c r="I46" s="1042" t="n"/>
      <c r="J46" s="1042" t="n"/>
      <c r="K46" s="1042" t="n"/>
      <c r="L46" s="1042" t="n"/>
      <c r="M46" s="1042" t="n"/>
      <c r="N46" s="1042" t="n"/>
      <c r="O46" s="1042" t="n"/>
      <c r="P46" s="1042" t="n"/>
      <c r="Q46" s="1042" t="n"/>
      <c r="R46" s="1042" t="n"/>
      <c r="S46" s="1042" t="n"/>
      <c r="T46" s="1042" t="n"/>
      <c r="U46" s="1042" t="n"/>
      <c r="V46" s="1042" t="n"/>
      <c r="W46" s="1042" t="n"/>
      <c r="X46" s="1042" t="n"/>
      <c r="Y46" s="1042" t="n"/>
      <c r="Z46" s="1042" t="n"/>
      <c r="AA46" s="1042" t="n"/>
      <c r="AB46" s="1042" t="n"/>
      <c r="AC46" s="1042" t="n"/>
      <c r="AD46" s="1042" t="n"/>
      <c r="AE46" s="1042" t="n"/>
      <c r="AF46" s="1042" t="n"/>
      <c r="AG46" s="1042" t="n"/>
      <c r="AH46" s="1042" t="n"/>
      <c r="AI46" s="1042" t="n"/>
      <c r="AJ46" s="1042" t="n"/>
      <c r="AK46" s="1042" t="n"/>
      <c r="AL46" s="1042" t="n"/>
      <c r="AM46" s="1042" t="n"/>
      <c r="AN46" s="1042" t="n"/>
      <c r="AO46" s="1042" t="n"/>
      <c r="AP46" s="1042" t="n"/>
      <c r="AQ46" s="1042" t="n"/>
      <c r="AR46" s="1042" t="n"/>
      <c r="AS46" s="1042" t="n"/>
      <c r="AT46" s="1042" t="n"/>
      <c r="AU46" s="1042" t="n"/>
      <c r="AV46" s="1042" t="n"/>
      <c r="AW46" s="1043" t="n"/>
      <c r="AX46" s="246" t="n"/>
      <c r="AY46" s="246" t="n"/>
      <c r="AZ46" s="246" t="n"/>
      <c r="BA46" s="246" t="n"/>
      <c r="BB46" s="246" t="n"/>
      <c r="BC46" s="246" t="n"/>
      <c r="BD46" s="246" t="n"/>
      <c r="BE46" s="246" t="n"/>
      <c r="BF46" s="246" t="n"/>
      <c r="BG46" s="246" t="n"/>
      <c r="BH46" s="246" t="n"/>
      <c r="BI46" s="246" t="n"/>
      <c r="BJ46" s="246" t="n"/>
      <c r="BK46" s="246" t="n"/>
      <c r="BL46" s="246" t="n"/>
      <c r="BM46" s="246" t="n"/>
      <c r="BN46" s="246" t="n"/>
      <c r="BO46" s="246" t="n"/>
      <c r="BP46" s="246" t="n"/>
      <c r="BQ46" s="246" t="n"/>
      <c r="BR46" s="246" t="n"/>
      <c r="BS46" s="246" t="n"/>
      <c r="BT46" s="246" t="n"/>
      <c r="BU46" s="246" t="n"/>
      <c r="BV46" s="246" t="n"/>
      <c r="BW46" s="246" t="n"/>
      <c r="BX46" s="246" t="n"/>
      <c r="BY46" s="246" t="n"/>
      <c r="BZ46" s="246" t="n"/>
      <c r="CA46" s="246" t="n"/>
      <c r="CB46" s="246" t="n"/>
      <c r="CC46" s="246" t="n"/>
      <c r="CD46" s="246" t="n"/>
      <c r="CE46" s="246" t="n"/>
      <c r="CF46" s="246" t="n"/>
      <c r="CG46" s="246" t="n"/>
    </row>
    <row r="47" ht="10.5" customHeight="1">
      <c r="A47" s="246" t="n"/>
      <c r="B47" s="1061" t="n"/>
      <c r="C47" s="1062" t="n"/>
      <c r="D47" s="1054" t="n"/>
      <c r="E47" s="1055" t="n"/>
      <c r="F47" s="1055" t="n"/>
      <c r="G47" s="1056" t="n"/>
      <c r="H47" s="1051" t="n"/>
      <c r="I47" s="1052" t="n"/>
      <c r="J47" s="1052" t="n"/>
      <c r="K47" s="1052" t="n"/>
      <c r="L47" s="1052" t="n"/>
      <c r="M47" s="1052" t="n"/>
      <c r="N47" s="1052" t="n"/>
      <c r="O47" s="1052" t="n"/>
      <c r="P47" s="1052" t="n"/>
      <c r="Q47" s="1052" t="n"/>
      <c r="R47" s="1052" t="n"/>
      <c r="S47" s="1052" t="n"/>
      <c r="T47" s="1052" t="n"/>
      <c r="U47" s="1052" t="n"/>
      <c r="V47" s="1052" t="n"/>
      <c r="W47" s="1052" t="n"/>
      <c r="X47" s="1052" t="n"/>
      <c r="Y47" s="1052" t="n"/>
      <c r="Z47" s="1052" t="n"/>
      <c r="AA47" s="1052" t="n"/>
      <c r="AB47" s="1052" t="n"/>
      <c r="AC47" s="1052" t="n"/>
      <c r="AD47" s="1052" t="n"/>
      <c r="AE47" s="1052" t="n"/>
      <c r="AF47" s="1052" t="n"/>
      <c r="AG47" s="1052" t="n"/>
      <c r="AH47" s="1052" t="n"/>
      <c r="AI47" s="1052" t="n"/>
      <c r="AJ47" s="1052" t="n"/>
      <c r="AK47" s="1052" t="n"/>
      <c r="AL47" s="1052" t="n"/>
      <c r="AM47" s="1052" t="n"/>
      <c r="AN47" s="1052" t="n"/>
      <c r="AO47" s="1052" t="n"/>
      <c r="AP47" s="1052" t="n"/>
      <c r="AQ47" s="1052" t="n"/>
      <c r="AR47" s="1052" t="n"/>
      <c r="AS47" s="1052" t="n"/>
      <c r="AT47" s="1052" t="n"/>
      <c r="AU47" s="1052" t="n"/>
      <c r="AV47" s="1052" t="n"/>
      <c r="AW47" s="1053" t="n"/>
      <c r="AX47" s="246" t="n"/>
      <c r="AY47" s="246" t="n"/>
      <c r="AZ47" s="246" t="n"/>
      <c r="BA47" s="246" t="n"/>
      <c r="BB47" s="246" t="n"/>
      <c r="BC47" s="246" t="n"/>
      <c r="BD47" s="246" t="n"/>
      <c r="BE47" s="246" t="n"/>
      <c r="BF47" s="246" t="n"/>
      <c r="BG47" s="246" t="n"/>
      <c r="BH47" s="246" t="n"/>
      <c r="BI47" s="246" t="n"/>
      <c r="BJ47" s="246" t="n"/>
      <c r="BK47" s="246" t="n"/>
      <c r="BL47" s="246" t="n"/>
      <c r="BM47" s="246" t="n"/>
      <c r="BN47" s="246" t="n"/>
      <c r="BO47" s="246" t="n"/>
      <c r="BP47" s="246" t="n"/>
      <c r="BQ47" s="246" t="n"/>
      <c r="BR47" s="246" t="n"/>
      <c r="BS47" s="246" t="n"/>
      <c r="BT47" s="246" t="n"/>
      <c r="BU47" s="246" t="n"/>
      <c r="BV47" s="246" t="n"/>
      <c r="BW47" s="246" t="n"/>
      <c r="BX47" s="246" t="n"/>
      <c r="BY47" s="246" t="n"/>
      <c r="BZ47" s="246" t="n"/>
      <c r="CA47" s="246" t="n"/>
      <c r="CB47" s="246" t="n"/>
      <c r="CC47" s="246" t="n"/>
      <c r="CD47" s="246" t="n"/>
      <c r="CE47" s="246" t="n"/>
      <c r="CF47" s="246" t="n"/>
      <c r="CG47" s="246" t="n"/>
    </row>
    <row r="48" ht="10.5" customHeight="1">
      <c r="A48" s="246" t="n"/>
      <c r="B48" s="1061" t="n"/>
      <c r="C48" s="1062" t="n"/>
      <c r="D48" s="1085" t="inlineStr">
        <is>
          <t>設備等</t>
        </is>
      </c>
      <c r="G48" s="1062" t="n"/>
      <c r="H48" s="1086" t="inlineStr">
        <is>
          <t>なし</t>
        </is>
      </c>
      <c r="I48" s="939" t="n"/>
      <c r="J48" s="939" t="n"/>
      <c r="K48" s="939" t="n"/>
      <c r="L48" s="939" t="n"/>
      <c r="M48" s="939" t="n"/>
      <c r="N48" s="939" t="n"/>
      <c r="O48" s="939" t="n"/>
      <c r="P48" s="939" t="n"/>
      <c r="Q48" s="939" t="n"/>
      <c r="R48" s="939" t="n"/>
      <c r="S48" s="939" t="n"/>
      <c r="T48" s="939" t="n"/>
      <c r="U48" s="939" t="n"/>
      <c r="V48" s="939" t="n"/>
      <c r="W48" s="939" t="n"/>
      <c r="X48" s="939" t="n"/>
      <c r="Y48" s="939" t="n"/>
      <c r="Z48" s="939" t="n"/>
      <c r="AA48" s="939" t="n"/>
      <c r="AB48" s="939" t="n"/>
      <c r="AC48" s="939" t="n"/>
      <c r="AD48" s="939" t="n"/>
      <c r="AE48" s="939" t="n"/>
      <c r="AF48" s="939" t="n"/>
      <c r="AG48" s="939" t="n"/>
      <c r="AH48" s="939" t="n"/>
      <c r="AI48" s="939" t="n"/>
      <c r="AJ48" s="939" t="n"/>
      <c r="AK48" s="939" t="n"/>
      <c r="AL48" s="939" t="n"/>
      <c r="AM48" s="939" t="n"/>
      <c r="AN48" s="939" t="n"/>
      <c r="AO48" s="939" t="n"/>
      <c r="AP48" s="939" t="n"/>
      <c r="AQ48" s="939" t="n"/>
      <c r="AR48" s="939" t="n"/>
      <c r="AS48" s="939" t="n"/>
      <c r="AT48" s="939" t="n"/>
      <c r="AU48" s="939" t="n"/>
      <c r="AV48" s="939" t="n"/>
      <c r="AW48" s="1060" t="n"/>
      <c r="AX48" s="246" t="n"/>
      <c r="AY48" s="246" t="n"/>
      <c r="AZ48" s="246" t="n"/>
      <c r="BA48" s="246" t="n"/>
      <c r="BB48" s="246" t="n"/>
      <c r="BC48" s="246" t="n"/>
      <c r="BD48" s="246" t="n"/>
      <c r="BE48" s="246" t="n"/>
      <c r="BF48" s="246" t="n"/>
      <c r="BG48" s="246" t="n"/>
      <c r="BH48" s="246" t="n"/>
      <c r="BI48" s="246" t="n"/>
      <c r="BJ48" s="246" t="n"/>
      <c r="BK48" s="246" t="n"/>
      <c r="BL48" s="246" t="n"/>
      <c r="BM48" s="246" t="n"/>
      <c r="BN48" s="246" t="n"/>
      <c r="BO48" s="246" t="n"/>
      <c r="BP48" s="246" t="n"/>
      <c r="BQ48" s="246" t="n"/>
      <c r="BR48" s="246" t="n"/>
      <c r="BS48" s="246" t="n"/>
      <c r="BT48" s="246" t="n"/>
      <c r="BU48" s="246" t="n"/>
      <c r="BV48" s="246" t="n"/>
      <c r="BW48" s="246" t="n"/>
      <c r="BX48" s="246" t="n"/>
      <c r="BY48" s="246" t="n"/>
      <c r="BZ48" s="246" t="n"/>
      <c r="CA48" s="246" t="n"/>
      <c r="CB48" s="246" t="n"/>
      <c r="CC48" s="246" t="n"/>
      <c r="CD48" s="246" t="n"/>
      <c r="CE48" s="246" t="n"/>
      <c r="CF48" s="246" t="n"/>
      <c r="CG48" s="246" t="n"/>
    </row>
    <row r="49" ht="10.5" customHeight="1">
      <c r="A49" s="246" t="n"/>
      <c r="B49" s="1054" t="n"/>
      <c r="C49" s="1056" t="n"/>
      <c r="D49" s="1054" t="n"/>
      <c r="E49" s="1055" t="n"/>
      <c r="F49" s="1055" t="n"/>
      <c r="G49" s="1056" t="n"/>
      <c r="H49" s="1051" t="n"/>
      <c r="I49" s="1052" t="n"/>
      <c r="J49" s="1052" t="n"/>
      <c r="K49" s="1052" t="n"/>
      <c r="L49" s="1052" t="n"/>
      <c r="M49" s="1052" t="n"/>
      <c r="N49" s="1052" t="n"/>
      <c r="O49" s="1052" t="n"/>
      <c r="P49" s="1052" t="n"/>
      <c r="Q49" s="1052" t="n"/>
      <c r="R49" s="1052" t="n"/>
      <c r="S49" s="1052" t="n"/>
      <c r="T49" s="1052" t="n"/>
      <c r="U49" s="1052" t="n"/>
      <c r="V49" s="1052" t="n"/>
      <c r="W49" s="1052" t="n"/>
      <c r="X49" s="1052" t="n"/>
      <c r="Y49" s="1052" t="n"/>
      <c r="Z49" s="1052" t="n"/>
      <c r="AA49" s="1052" t="n"/>
      <c r="AB49" s="1052" t="n"/>
      <c r="AC49" s="1052" t="n"/>
      <c r="AD49" s="1052" t="n"/>
      <c r="AE49" s="1052" t="n"/>
      <c r="AF49" s="1052" t="n"/>
      <c r="AG49" s="1052" t="n"/>
      <c r="AH49" s="1052" t="n"/>
      <c r="AI49" s="1052" t="n"/>
      <c r="AJ49" s="1052" t="n"/>
      <c r="AK49" s="1052" t="n"/>
      <c r="AL49" s="1052" t="n"/>
      <c r="AM49" s="1052" t="n"/>
      <c r="AN49" s="1052" t="n"/>
      <c r="AO49" s="1052" t="n"/>
      <c r="AP49" s="1052" t="n"/>
      <c r="AQ49" s="1052" t="n"/>
      <c r="AR49" s="1052" t="n"/>
      <c r="AS49" s="1052" t="n"/>
      <c r="AT49" s="1052" t="n"/>
      <c r="AU49" s="1052" t="n"/>
      <c r="AV49" s="1052" t="n"/>
      <c r="AW49" s="1053" t="n"/>
      <c r="AX49" s="246" t="n"/>
      <c r="AY49" s="246" t="n"/>
      <c r="AZ49" s="246" t="n"/>
      <c r="BA49" s="246" t="n"/>
      <c r="BB49" s="246" t="n"/>
      <c r="BC49" s="246" t="n"/>
      <c r="BD49" s="246" t="n"/>
      <c r="BE49" s="246" t="n"/>
      <c r="BF49" s="246" t="n"/>
      <c r="BG49" s="246" t="n"/>
      <c r="BH49" s="246" t="n"/>
      <c r="BI49" s="246" t="n"/>
      <c r="BJ49" s="246" t="n"/>
      <c r="BK49" s="246" t="n"/>
      <c r="BL49" s="246" t="n"/>
      <c r="BM49" s="246" t="n"/>
      <c r="BN49" s="246" t="n"/>
      <c r="BO49" s="246" t="n"/>
      <c r="BP49" s="246" t="n"/>
      <c r="BQ49" s="246" t="n"/>
      <c r="BR49" s="246" t="n"/>
      <c r="BS49" s="246" t="n"/>
      <c r="BT49" s="246" t="n"/>
      <c r="BU49" s="246" t="n"/>
      <c r="BV49" s="246" t="n"/>
      <c r="BW49" s="246" t="n"/>
      <c r="BX49" s="246" t="n"/>
      <c r="BY49" s="246" t="n"/>
      <c r="BZ49" s="246" t="n"/>
      <c r="CA49" s="246" t="n"/>
      <c r="CB49" s="246" t="n"/>
      <c r="CC49" s="246" t="n"/>
      <c r="CD49" s="246" t="n"/>
      <c r="CE49" s="246" t="n"/>
      <c r="CF49" s="246" t="n"/>
      <c r="CG49" s="246" t="n"/>
    </row>
    <row r="50" ht="10.5" customHeight="1">
      <c r="A50" s="246" t="n"/>
      <c r="B50" s="1063" t="inlineStr">
        <is>
          <t>建 物</t>
        </is>
      </c>
      <c r="C50" s="1046" t="n"/>
      <c r="D50" s="732" t="inlineStr">
        <is>
          <t>所  在</t>
        </is>
      </c>
      <c r="G50" s="1080" t="n"/>
      <c r="H50" s="1087">
        <f>①物件情報入力シート!C3</f>
        <v/>
      </c>
      <c r="I50" s="1042" t="n"/>
      <c r="J50" s="1042" t="n"/>
      <c r="K50" s="1042" t="n"/>
      <c r="L50" s="1042" t="n"/>
      <c r="M50" s="1042" t="n"/>
      <c r="N50" s="1042" t="n"/>
      <c r="O50" s="1042" t="n"/>
      <c r="P50" s="1042" t="n"/>
      <c r="Q50" s="1042" t="n"/>
      <c r="R50" s="1042" t="n"/>
      <c r="S50" s="1042" t="n"/>
      <c r="T50" s="1042" t="n"/>
      <c r="U50" s="1042" t="n"/>
      <c r="V50" s="1042" t="n"/>
      <c r="W50" s="1042" t="n"/>
      <c r="X50" s="1042" t="n"/>
      <c r="Y50" s="1042" t="n"/>
      <c r="Z50" s="1042" t="n"/>
      <c r="AA50" s="1042" t="n"/>
      <c r="AB50" s="1042" t="n"/>
      <c r="AC50" s="1042" t="n"/>
      <c r="AD50" s="1042" t="n"/>
      <c r="AE50" s="1042" t="n"/>
      <c r="AF50" s="1043" t="n"/>
      <c r="AG50" s="695" t="inlineStr">
        <is>
          <t>家屋番号</t>
        </is>
      </c>
      <c r="AH50" s="1039" t="n"/>
      <c r="AI50" s="1039" t="n"/>
      <c r="AJ50" s="1040" t="n"/>
      <c r="AK50" s="1069" t="n"/>
      <c r="AL50" s="1042" t="n"/>
      <c r="AM50" s="1042" t="n"/>
      <c r="AN50" s="1042" t="n"/>
      <c r="AO50" s="1042" t="n"/>
      <c r="AP50" s="1042" t="n"/>
      <c r="AQ50" s="1042" t="n"/>
      <c r="AR50" s="1042" t="n"/>
      <c r="AS50" s="1042" t="n"/>
      <c r="AT50" s="1042" t="n"/>
      <c r="AU50" s="1042" t="n"/>
      <c r="AV50" s="1042" t="n"/>
      <c r="AW50" s="1043" t="n"/>
      <c r="AX50" s="246" t="n"/>
      <c r="AY50" s="246" t="n"/>
      <c r="AZ50" s="246" t="n"/>
      <c r="BA50" s="246" t="n"/>
      <c r="BB50" s="246" t="n"/>
      <c r="BC50" s="246" t="n"/>
      <c r="BD50" s="246" t="n"/>
      <c r="BE50" s="246" t="n"/>
      <c r="BF50" s="246" t="n"/>
      <c r="BG50" s="246" t="n"/>
      <c r="BH50" s="246" t="n"/>
      <c r="BI50" s="246" t="n"/>
      <c r="BJ50" s="246" t="n"/>
      <c r="BK50" s="246" t="n"/>
      <c r="BL50" s="246" t="n"/>
      <c r="BM50" s="246" t="n"/>
      <c r="BN50" s="246" t="n"/>
      <c r="BO50" s="246" t="n"/>
      <c r="BP50" s="246" t="n"/>
      <c r="BQ50" s="246" t="n"/>
      <c r="BR50" s="246" t="n"/>
      <c r="BS50" s="246" t="n"/>
      <c r="BT50" s="246" t="n"/>
      <c r="BU50" s="246" t="n"/>
      <c r="BV50" s="246" t="n"/>
      <c r="BW50" s="246" t="n"/>
      <c r="BX50" s="246" t="n"/>
      <c r="BY50" s="246" t="n"/>
      <c r="BZ50" s="246" t="n"/>
      <c r="CA50" s="246" t="n"/>
      <c r="CB50" s="246" t="n"/>
      <c r="CC50" s="246" t="n"/>
      <c r="CD50" s="246" t="n"/>
      <c r="CE50" s="246" t="n"/>
      <c r="CF50" s="246" t="n"/>
      <c r="CG50" s="246" t="n"/>
    </row>
    <row r="51" ht="10.5" customHeight="1">
      <c r="A51" s="246" t="n"/>
      <c r="B51" s="1061" t="n"/>
      <c r="C51" s="1062" t="n"/>
      <c r="D51" s="1048" t="n"/>
      <c r="E51" s="1049" t="n"/>
      <c r="F51" s="1049" t="n"/>
      <c r="G51" s="1050" t="n"/>
      <c r="H51" s="1082" t="n"/>
      <c r="I51" s="939" t="n"/>
      <c r="J51" s="939" t="n"/>
      <c r="K51" s="939" t="n"/>
      <c r="L51" s="939" t="n"/>
      <c r="M51" s="939" t="n"/>
      <c r="N51" s="939" t="n"/>
      <c r="O51" s="939" t="n"/>
      <c r="P51" s="939" t="n"/>
      <c r="Q51" s="939" t="n"/>
      <c r="R51" s="939" t="n"/>
      <c r="S51" s="939" t="n"/>
      <c r="T51" s="939" t="n"/>
      <c r="U51" s="939" t="n"/>
      <c r="V51" s="939" t="n"/>
      <c r="W51" s="939" t="n"/>
      <c r="X51" s="939" t="n"/>
      <c r="Y51" s="939" t="n"/>
      <c r="Z51" s="939" t="n"/>
      <c r="AA51" s="939" t="n"/>
      <c r="AB51" s="939" t="n"/>
      <c r="AC51" s="939" t="n"/>
      <c r="AD51" s="939" t="n"/>
      <c r="AE51" s="939" t="n"/>
      <c r="AF51" s="1060" t="n"/>
      <c r="AG51" s="1048" t="n"/>
      <c r="AH51" s="1049" t="n"/>
      <c r="AI51" s="1049" t="n"/>
      <c r="AJ51" s="1050" t="n"/>
      <c r="AK51" s="1051" t="n"/>
      <c r="AL51" s="1052" t="n"/>
      <c r="AM51" s="1052" t="n"/>
      <c r="AN51" s="1052" t="n"/>
      <c r="AO51" s="1052" t="n"/>
      <c r="AP51" s="1052" t="n"/>
      <c r="AQ51" s="1052" t="n"/>
      <c r="AR51" s="1052" t="n"/>
      <c r="AS51" s="1052" t="n"/>
      <c r="AT51" s="1052" t="n"/>
      <c r="AU51" s="1052" t="n"/>
      <c r="AV51" s="1052" t="n"/>
      <c r="AW51" s="1053" t="n"/>
      <c r="AX51" s="246" t="n"/>
      <c r="AY51" s="246" t="n"/>
      <c r="AZ51" s="246" t="n"/>
      <c r="BA51" s="246" t="n"/>
      <c r="BB51" s="246" t="n"/>
      <c r="BC51" s="246" t="n"/>
      <c r="BD51" s="246" t="n"/>
      <c r="BE51" s="246" t="n"/>
      <c r="BF51" s="246" t="n"/>
      <c r="BG51" s="246" t="n"/>
      <c r="BH51" s="246" t="n"/>
      <c r="BI51" s="246" t="n"/>
      <c r="BJ51" s="246" t="n"/>
      <c r="BK51" s="246" t="n"/>
      <c r="BL51" s="246" t="n"/>
      <c r="BM51" s="246" t="n"/>
      <c r="BN51" s="246" t="n"/>
      <c r="BO51" s="246" t="n"/>
      <c r="BP51" s="246" t="n"/>
      <c r="BQ51" s="246" t="n"/>
      <c r="BR51" s="246" t="n"/>
      <c r="BS51" s="246" t="n"/>
      <c r="BT51" s="246" t="n"/>
      <c r="BU51" s="246" t="n"/>
      <c r="BV51" s="246" t="n"/>
      <c r="BW51" s="246" t="n"/>
      <c r="BX51" s="246" t="n"/>
      <c r="BY51" s="246" t="n"/>
      <c r="BZ51" s="246" t="n"/>
      <c r="CA51" s="246" t="n"/>
      <c r="CB51" s="246" t="n"/>
      <c r="CC51" s="246" t="n"/>
      <c r="CD51" s="246" t="n"/>
      <c r="CE51" s="246" t="n"/>
      <c r="CF51" s="246" t="n"/>
      <c r="CG51" s="246" t="n"/>
    </row>
    <row r="52" ht="10.5" customHeight="1">
      <c r="A52" s="246" t="n"/>
      <c r="B52" s="1061" t="n"/>
      <c r="C52" s="1062" t="n"/>
      <c r="D52" s="695" t="inlineStr">
        <is>
          <t>住居表示</t>
        </is>
      </c>
      <c r="E52" s="1039" t="n"/>
      <c r="F52" s="1039" t="n"/>
      <c r="G52" s="1040" t="n"/>
      <c r="H52" s="1087">
        <f>①物件情報入力シート!C4</f>
        <v/>
      </c>
      <c r="I52" s="1042" t="n"/>
      <c r="J52" s="1042" t="n"/>
      <c r="K52" s="1042" t="n"/>
      <c r="L52" s="1042" t="n"/>
      <c r="M52" s="1042" t="n"/>
      <c r="N52" s="1042" t="n"/>
      <c r="O52" s="1042" t="n"/>
      <c r="P52" s="1042" t="n"/>
      <c r="Q52" s="1042" t="n"/>
      <c r="R52" s="1042" t="n"/>
      <c r="S52" s="1042" t="n"/>
      <c r="T52" s="1042" t="n"/>
      <c r="U52" s="1042" t="n"/>
      <c r="V52" s="1042" t="n"/>
      <c r="W52" s="1042" t="n"/>
      <c r="X52" s="1042" t="n"/>
      <c r="Y52" s="1042" t="n"/>
      <c r="Z52" s="1042" t="n"/>
      <c r="AA52" s="1042" t="n"/>
      <c r="AB52" s="1042" t="n"/>
      <c r="AC52" s="1042" t="n"/>
      <c r="AD52" s="1042" t="n"/>
      <c r="AE52" s="1042" t="n"/>
      <c r="AF52" s="1043" t="n"/>
      <c r="AG52" s="695" t="inlineStr">
        <is>
          <t>附属建物</t>
        </is>
      </c>
      <c r="AH52" s="1039" t="n"/>
      <c r="AI52" s="1039" t="n"/>
      <c r="AJ52" s="1040" t="n"/>
      <c r="AK52" s="1088" t="inlineStr">
        <is>
          <t>無</t>
        </is>
      </c>
      <c r="AL52" s="1042" t="n"/>
      <c r="AM52" s="1089" t="inlineStr">
        <is>
          <t>（</t>
        </is>
      </c>
      <c r="AN52" s="1090" t="n"/>
      <c r="AO52" s="1042" t="n"/>
      <c r="AP52" s="1042" t="n"/>
      <c r="AQ52" s="1042" t="n"/>
      <c r="AR52" s="1042" t="n"/>
      <c r="AS52" s="1042" t="n"/>
      <c r="AT52" s="1042" t="n"/>
      <c r="AU52" s="1042" t="n"/>
      <c r="AV52" s="1042" t="n"/>
      <c r="AW52" s="1091" t="inlineStr">
        <is>
          <t>）</t>
        </is>
      </c>
      <c r="AX52" s="246" t="n"/>
      <c r="AY52" s="246" t="n"/>
      <c r="AZ52" s="246" t="n"/>
      <c r="BA52" s="246" t="n"/>
      <c r="BB52" s="246" t="n"/>
      <c r="BC52" s="246" t="n"/>
      <c r="BD52" s="246" t="n"/>
      <c r="BE52" s="246" t="n"/>
      <c r="BF52" s="246" t="n"/>
      <c r="BG52" s="246" t="n"/>
      <c r="BH52" s="246" t="n"/>
      <c r="BI52" s="246" t="n"/>
      <c r="BJ52" s="246" t="n"/>
      <c r="BK52" s="246" t="n"/>
      <c r="BL52" s="246" t="n"/>
      <c r="BM52" s="246" t="n"/>
      <c r="BN52" s="246" t="n"/>
      <c r="BO52" s="246" t="n"/>
      <c r="BP52" s="246" t="n"/>
      <c r="BQ52" s="246" t="n"/>
      <c r="BR52" s="246" t="n"/>
      <c r="BS52" s="246" t="n"/>
      <c r="BT52" s="246" t="n"/>
      <c r="BU52" s="246" t="n"/>
      <c r="BV52" s="246" t="n"/>
      <c r="BW52" s="246" t="n"/>
      <c r="BX52" s="246" t="n"/>
      <c r="BY52" s="246" t="n"/>
      <c r="BZ52" s="246" t="n"/>
      <c r="CA52" s="246" t="n"/>
      <c r="CB52" s="246" t="n"/>
      <c r="CC52" s="246" t="n"/>
      <c r="CD52" s="246" t="n"/>
      <c r="CE52" s="246" t="n"/>
      <c r="CF52" s="246" t="n"/>
      <c r="CG52" s="246" t="n"/>
    </row>
    <row r="53" ht="10.5" customHeight="1">
      <c r="A53" s="246" t="n"/>
      <c r="B53" s="1061" t="n"/>
      <c r="C53" s="1062" t="n"/>
      <c r="D53" s="1048" t="n"/>
      <c r="E53" s="1049" t="n"/>
      <c r="F53" s="1049" t="n"/>
      <c r="G53" s="1050" t="n"/>
      <c r="H53" s="1082" t="n"/>
      <c r="I53" s="939" t="n"/>
      <c r="J53" s="939" t="n"/>
      <c r="K53" s="939" t="n"/>
      <c r="L53" s="939" t="n"/>
      <c r="M53" s="939" t="n"/>
      <c r="N53" s="939" t="n"/>
      <c r="O53" s="939" t="n"/>
      <c r="P53" s="939" t="n"/>
      <c r="Q53" s="939" t="n"/>
      <c r="R53" s="939" t="n"/>
      <c r="S53" s="939" t="n"/>
      <c r="T53" s="939" t="n"/>
      <c r="U53" s="939" t="n"/>
      <c r="V53" s="939" t="n"/>
      <c r="W53" s="939" t="n"/>
      <c r="X53" s="939" t="n"/>
      <c r="Y53" s="939" t="n"/>
      <c r="Z53" s="939" t="n"/>
      <c r="AA53" s="939" t="n"/>
      <c r="AB53" s="939" t="n"/>
      <c r="AC53" s="939" t="n"/>
      <c r="AD53" s="939" t="n"/>
      <c r="AE53" s="939" t="n"/>
      <c r="AF53" s="1060" t="n"/>
      <c r="AG53" s="1048" t="n"/>
      <c r="AH53" s="1049" t="n"/>
      <c r="AI53" s="1049" t="n"/>
      <c r="AJ53" s="1050" t="n"/>
      <c r="AK53" s="1051" t="n"/>
      <c r="AL53" s="1052" t="n"/>
      <c r="AM53" s="1055" t="n"/>
      <c r="AN53" s="1052" t="n"/>
      <c r="AO53" s="1052" t="n"/>
      <c r="AP53" s="1052" t="n"/>
      <c r="AQ53" s="1052" t="n"/>
      <c r="AR53" s="1052" t="n"/>
      <c r="AS53" s="1052" t="n"/>
      <c r="AT53" s="1052" t="n"/>
      <c r="AU53" s="1052" t="n"/>
      <c r="AV53" s="1052" t="n"/>
      <c r="AW53" s="1056" t="n"/>
      <c r="AX53" s="251" t="n"/>
      <c r="AY53" s="251" t="n"/>
      <c r="AZ53" s="251" t="n"/>
      <c r="BA53" s="246" t="n"/>
      <c r="BB53" s="246" t="n"/>
      <c r="BC53" s="246" t="n"/>
      <c r="BD53" s="246" t="n"/>
      <c r="BE53" s="246" t="n"/>
      <c r="BF53" s="246" t="n"/>
      <c r="BG53" s="246" t="n"/>
      <c r="BH53" s="246" t="n"/>
      <c r="BI53" s="246" t="n"/>
      <c r="BJ53" s="246" t="n"/>
      <c r="BK53" s="246" t="n"/>
      <c r="BL53" s="246" t="n"/>
      <c r="BM53" s="246" t="n"/>
      <c r="BN53" s="246" t="n"/>
      <c r="BO53" s="246" t="n"/>
      <c r="BP53" s="246" t="n"/>
      <c r="BQ53" s="246" t="n"/>
      <c r="BR53" s="246" t="n"/>
      <c r="BS53" s="246" t="n"/>
      <c r="BT53" s="246" t="n"/>
      <c r="BU53" s="246" t="n"/>
      <c r="BV53" s="246" t="n"/>
      <c r="BW53" s="246" t="n"/>
      <c r="BX53" s="246" t="n"/>
      <c r="BY53" s="246" t="n"/>
      <c r="BZ53" s="246" t="n"/>
      <c r="CA53" s="246" t="n"/>
      <c r="CB53" s="246" t="n"/>
      <c r="CC53" s="246" t="n"/>
      <c r="CD53" s="246" t="n"/>
    </row>
    <row r="54" ht="10.5" customHeight="1">
      <c r="A54" s="246" t="n"/>
      <c r="B54" s="1061" t="n"/>
      <c r="C54" s="1062" t="n"/>
      <c r="D54" s="695" t="inlineStr">
        <is>
          <t>種  類</t>
        </is>
      </c>
      <c r="E54" s="1039" t="n"/>
      <c r="F54" s="1039" t="n"/>
      <c r="G54" s="1040" t="n"/>
      <c r="H54" s="1069" t="inlineStr">
        <is>
          <t>居宅</t>
        </is>
      </c>
      <c r="I54" s="1042" t="n"/>
      <c r="J54" s="1042" t="n"/>
      <c r="K54" s="1042" t="n"/>
      <c r="L54" s="1042" t="n"/>
      <c r="M54" s="1042" t="n"/>
      <c r="N54" s="1042" t="n"/>
      <c r="O54" s="1042" t="n"/>
      <c r="P54" s="1042" t="n"/>
      <c r="Q54" s="1043" t="n"/>
      <c r="R54" s="1074" t="inlineStr">
        <is>
          <t>構  造</t>
        </is>
      </c>
      <c r="S54" s="1045" t="n"/>
      <c r="T54" s="1045" t="n"/>
      <c r="U54" s="1046" t="n"/>
      <c r="V54" s="1092">
        <f>①物件情報入力シート!C14</f>
        <v/>
      </c>
      <c r="W54" s="1042" t="n"/>
      <c r="X54" s="1042" t="n"/>
      <c r="Y54" s="1042" t="n"/>
      <c r="Z54" s="1042" t="n"/>
      <c r="AA54" s="1042" t="n"/>
      <c r="AB54" s="1042" t="n"/>
      <c r="AC54" s="1042" t="n"/>
      <c r="AD54" s="1042" t="n"/>
      <c r="AE54" s="1042" t="n"/>
      <c r="AF54" s="1042" t="n"/>
      <c r="AG54" s="1042" t="n"/>
      <c r="AH54" s="1042" t="n"/>
      <c r="AI54" s="1042" t="n"/>
      <c r="AJ54" s="1093" t="inlineStr">
        <is>
          <t>用  途</t>
        </is>
      </c>
      <c r="AK54" s="1045" t="n"/>
      <c r="AL54" s="1045" t="n"/>
      <c r="AM54" s="1046" t="n"/>
      <c r="AN54" s="1069" t="inlineStr">
        <is>
          <t>居宅</t>
        </is>
      </c>
      <c r="AO54" s="1042" t="n"/>
      <c r="AP54" s="1042" t="n"/>
      <c r="AQ54" s="1042" t="n"/>
      <c r="AR54" s="1042" t="n"/>
      <c r="AS54" s="1042" t="n"/>
      <c r="AT54" s="1042" t="n"/>
      <c r="AU54" s="1042" t="n"/>
      <c r="AV54" s="1042" t="n"/>
      <c r="AW54" s="1043" t="n"/>
      <c r="AX54" s="251" t="n"/>
      <c r="AY54" s="251" t="n"/>
      <c r="AZ54" s="251" t="n"/>
      <c r="BA54" s="246" t="n"/>
      <c r="BB54" s="246" t="n"/>
      <c r="BC54" s="246" t="n"/>
      <c r="BD54" s="246" t="n"/>
      <c r="BE54" s="246" t="n"/>
      <c r="BF54" s="246" t="n"/>
      <c r="BG54" s="246" t="n"/>
      <c r="BH54" s="246" t="n"/>
      <c r="BI54" s="246" t="n"/>
      <c r="BJ54" s="246" t="n"/>
      <c r="BK54" s="246" t="n"/>
      <c r="BL54" s="246" t="n"/>
      <c r="BM54" s="246" t="n"/>
      <c r="BN54" s="246" t="n"/>
      <c r="BO54" s="246" t="n"/>
      <c r="BP54" s="246" t="n"/>
      <c r="BQ54" s="246" t="n"/>
      <c r="BR54" s="246" t="n"/>
      <c r="BS54" s="246" t="n"/>
      <c r="BT54" s="246" t="n"/>
      <c r="BU54" s="246" t="n"/>
      <c r="BV54" s="246" t="n"/>
      <c r="BW54" s="246" t="n"/>
      <c r="BX54" s="246" t="n"/>
      <c r="BY54" s="246" t="n"/>
      <c r="BZ54" s="246" t="n"/>
      <c r="CA54" s="246" t="n"/>
      <c r="CB54" s="246" t="n"/>
      <c r="CC54" s="246" t="n"/>
      <c r="CD54" s="246" t="n"/>
    </row>
    <row r="55" ht="10.5" customHeight="1">
      <c r="A55" s="246" t="n"/>
      <c r="B55" s="1061" t="n"/>
      <c r="C55" s="1062" t="n"/>
      <c r="D55" s="1048" t="n"/>
      <c r="E55" s="1049" t="n"/>
      <c r="F55" s="1049" t="n"/>
      <c r="G55" s="1050" t="n"/>
      <c r="H55" s="1051" t="n"/>
      <c r="I55" s="1052" t="n"/>
      <c r="J55" s="1052" t="n"/>
      <c r="K55" s="1052" t="n"/>
      <c r="L55" s="1052" t="n"/>
      <c r="M55" s="1052" t="n"/>
      <c r="N55" s="1052" t="n"/>
      <c r="O55" s="1052" t="n"/>
      <c r="P55" s="1052" t="n"/>
      <c r="Q55" s="1053" t="n"/>
      <c r="R55" s="1054" t="n"/>
      <c r="S55" s="1055" t="n"/>
      <c r="T55" s="1055" t="n"/>
      <c r="U55" s="1056" t="n"/>
      <c r="V55" s="1051" t="n"/>
      <c r="W55" s="1052" t="n"/>
      <c r="X55" s="1052" t="n"/>
      <c r="Y55" s="1052" t="n"/>
      <c r="Z55" s="1052" t="n"/>
      <c r="AA55" s="1052" t="n"/>
      <c r="AB55" s="1052" t="n"/>
      <c r="AC55" s="1052" t="n"/>
      <c r="AD55" s="1052" t="n"/>
      <c r="AE55" s="1052" t="n"/>
      <c r="AF55" s="1052" t="n"/>
      <c r="AG55" s="1052" t="n"/>
      <c r="AH55" s="1052" t="n"/>
      <c r="AI55" s="1052" t="n"/>
      <c r="AJ55" s="1054" t="n"/>
      <c r="AK55" s="1055" t="n"/>
      <c r="AL55" s="1055" t="n"/>
      <c r="AM55" s="1056" t="n"/>
      <c r="AN55" s="1051" t="n"/>
      <c r="AO55" s="1052" t="n"/>
      <c r="AP55" s="1052" t="n"/>
      <c r="AQ55" s="1052" t="n"/>
      <c r="AR55" s="1052" t="n"/>
      <c r="AS55" s="1052" t="n"/>
      <c r="AT55" s="1052" t="n"/>
      <c r="AU55" s="1052" t="n"/>
      <c r="AV55" s="1052" t="n"/>
      <c r="AW55" s="1053" t="n"/>
      <c r="AX55" s="251" t="n"/>
      <c r="AY55" s="251" t="n"/>
      <c r="AZ55" s="251" t="n"/>
      <c r="BA55" s="246" t="n"/>
      <c r="BB55" s="246" t="n"/>
      <c r="BC55" s="246" t="n"/>
      <c r="BD55" s="246" t="n"/>
      <c r="BE55" s="246" t="n"/>
      <c r="BF55" s="246" t="n"/>
      <c r="BG55" s="246" t="n"/>
      <c r="BH55" s="246" t="n"/>
      <c r="BI55" s="246" t="n"/>
      <c r="BJ55" s="246" t="n"/>
      <c r="BK55" s="246" t="n"/>
      <c r="BL55" s="246" t="n"/>
      <c r="BM55" s="246" t="n"/>
      <c r="BN55" s="246" t="n"/>
      <c r="BO55" s="246" t="n"/>
      <c r="BP55" s="246" t="n"/>
      <c r="BQ55" s="246" t="n"/>
      <c r="BR55" s="246" t="n"/>
      <c r="BS55" s="246" t="n"/>
      <c r="BT55" s="246" t="n"/>
      <c r="BU55" s="246" t="n"/>
      <c r="BV55" s="246" t="n"/>
      <c r="BW55" s="246" t="n"/>
      <c r="BX55" s="246" t="n"/>
      <c r="BY55" s="246" t="n"/>
      <c r="BZ55" s="246" t="n"/>
      <c r="CA55" s="246" t="n"/>
      <c r="CB55" s="246" t="n"/>
      <c r="CC55" s="246" t="n"/>
      <c r="CD55" s="246" t="n"/>
    </row>
    <row r="56" ht="10.5" customHeight="1">
      <c r="B56" s="1061" t="n"/>
      <c r="C56" s="1062" t="n"/>
      <c r="D56" s="1074" t="inlineStr">
        <is>
          <t>床面積</t>
        </is>
      </c>
      <c r="E56" s="1045" t="n"/>
      <c r="F56" s="1045" t="n"/>
      <c r="G56" s="1046" t="n"/>
      <c r="H56" s="701" t="inlineStr">
        <is>
          <t>■</t>
        </is>
      </c>
      <c r="I56" s="629" t="inlineStr">
        <is>
          <t>登記簿</t>
        </is>
      </c>
      <c r="J56" s="1045" t="n"/>
      <c r="K56" s="1045" t="n"/>
      <c r="L56" s="1046" t="n"/>
      <c r="M56" s="721" t="inlineStr">
        <is>
          <t>1階</t>
        </is>
      </c>
      <c r="N56" s="1045" t="n"/>
      <c r="O56" s="607">
        <f>①物件情報入力シート!C17</f>
        <v/>
      </c>
      <c r="P56" s="1042" t="n"/>
      <c r="Q56" s="1042" t="n"/>
      <c r="R56" s="1042" t="n"/>
      <c r="S56" s="655" t="inlineStr">
        <is>
          <t>㎡・</t>
        </is>
      </c>
      <c r="T56" s="1045" t="n"/>
      <c r="U56" s="718" t="inlineStr">
        <is>
          <t>2階</t>
        </is>
      </c>
      <c r="V56" s="1045" t="n"/>
      <c r="W56" s="607">
        <f>①物件情報入力シート!C18</f>
        <v/>
      </c>
      <c r="X56" s="1042" t="n"/>
      <c r="Y56" s="1042" t="n"/>
      <c r="Z56" s="1042" t="n"/>
      <c r="AA56" s="655" t="inlineStr">
        <is>
          <t>㎡・</t>
        </is>
      </c>
      <c r="AB56" s="1045" t="n"/>
      <c r="AC56" s="720" t="inlineStr">
        <is>
          <t>階</t>
        </is>
      </c>
      <c r="AD56" s="1042" t="n"/>
      <c r="AE56" s="607" t="n"/>
      <c r="AF56" s="1042" t="n"/>
      <c r="AG56" s="1042" t="n"/>
      <c r="AH56" s="1042" t="n"/>
      <c r="AI56" s="655" t="inlineStr">
        <is>
          <t>㎡・</t>
        </is>
      </c>
      <c r="AJ56" s="1045" t="n"/>
      <c r="AK56" s="720" t="inlineStr">
        <is>
          <t>階</t>
        </is>
      </c>
      <c r="AL56" s="1042" t="n"/>
      <c r="AM56" s="607" t="n"/>
      <c r="AN56" s="1042" t="n"/>
      <c r="AO56" s="1042" t="n"/>
      <c r="AP56" s="1042" t="n"/>
      <c r="AQ56" s="655" t="inlineStr">
        <is>
          <t>㎡・</t>
        </is>
      </c>
      <c r="AR56" s="1045" t="n"/>
      <c r="AS56" s="257" t="n"/>
      <c r="AT56" s="257" t="n"/>
      <c r="AU56" s="257" t="n"/>
      <c r="AV56" s="257" t="n"/>
      <c r="AW56" s="264" t="n"/>
      <c r="AY56" s="244" t="n"/>
      <c r="BA56" s="246" t="n"/>
      <c r="BB56" s="246" t="n"/>
      <c r="BC56" s="246" t="n"/>
      <c r="BD56" s="246" t="n"/>
      <c r="BE56" s="246" t="n"/>
      <c r="BF56" s="246" t="n"/>
      <c r="BG56" s="246" t="n"/>
      <c r="BH56" s="246" t="n"/>
      <c r="BI56" s="246" t="n"/>
      <c r="BJ56" s="246" t="n"/>
      <c r="BK56" s="246" t="n"/>
      <c r="BL56" s="246" t="n"/>
      <c r="BM56" s="246" t="n"/>
      <c r="BN56" s="246" t="n"/>
      <c r="BO56" s="246" t="n"/>
      <c r="BP56" s="246" t="n"/>
      <c r="BQ56" s="246" t="n"/>
      <c r="BR56" s="246" t="n"/>
      <c r="BS56" s="246" t="n"/>
      <c r="BT56" s="246" t="n"/>
      <c r="BU56" s="246" t="n"/>
      <c r="BV56" s="246" t="n"/>
      <c r="BW56" s="246" t="n"/>
      <c r="BX56" s="246" t="n"/>
      <c r="BY56" s="246" t="n"/>
      <c r="BZ56" s="246" t="n"/>
      <c r="CA56" s="246" t="n"/>
      <c r="CB56" s="246" t="n"/>
      <c r="CC56" s="246" t="n"/>
      <c r="CD56" s="246" t="n"/>
    </row>
    <row r="57" ht="10.5" customHeight="1">
      <c r="B57" s="1061" t="n"/>
      <c r="C57" s="1062" t="n"/>
      <c r="D57" s="1061" t="n"/>
      <c r="G57" s="1062" t="n"/>
      <c r="H57" s="1082" t="n"/>
      <c r="L57" s="1062" t="n"/>
      <c r="M57" s="1061" t="n"/>
      <c r="O57" s="939" t="n"/>
      <c r="P57" s="939" t="n"/>
      <c r="Q57" s="939" t="n"/>
      <c r="R57" s="939" t="n"/>
      <c r="W57" s="939" t="n"/>
      <c r="X57" s="939" t="n"/>
      <c r="Y57" s="939" t="n"/>
      <c r="Z57" s="939" t="n"/>
      <c r="AC57" s="939" t="n"/>
      <c r="AD57" s="939" t="n"/>
      <c r="AE57" s="939" t="n"/>
      <c r="AF57" s="939" t="n"/>
      <c r="AG57" s="939" t="n"/>
      <c r="AH57" s="939" t="n"/>
      <c r="AK57" s="939" t="n"/>
      <c r="AL57" s="939" t="n"/>
      <c r="AM57" s="939" t="n"/>
      <c r="AN57" s="939" t="n"/>
      <c r="AO57" s="939" t="n"/>
      <c r="AP57" s="939" t="n"/>
      <c r="AS57" s="265" t="n"/>
      <c r="AT57" s="265" t="n"/>
      <c r="AU57" s="252" t="n"/>
      <c r="AV57" s="252" t="n"/>
      <c r="AW57" s="266" t="n"/>
      <c r="AY57" s="244" t="n"/>
      <c r="BA57" s="246" t="n"/>
      <c r="BB57" s="246" t="n"/>
      <c r="BC57" s="246" t="n"/>
      <c r="BD57" s="246" t="n"/>
      <c r="BE57" s="246" t="n"/>
      <c r="BF57" s="246" t="n"/>
      <c r="BG57" s="246" t="n"/>
      <c r="BH57" s="246" t="n"/>
      <c r="BI57" s="246" t="n"/>
      <c r="BJ57" s="246" t="n"/>
      <c r="BK57" s="246" t="n"/>
      <c r="BL57" s="246" t="n"/>
      <c r="BM57" s="246" t="n"/>
      <c r="BN57" s="246" t="n"/>
      <c r="BO57" s="246" t="n"/>
      <c r="BP57" s="246" t="n"/>
      <c r="BQ57" s="246" t="n"/>
      <c r="BR57" s="246" t="n"/>
      <c r="BS57" s="246" t="n"/>
      <c r="BT57" s="246" t="n"/>
      <c r="BU57" s="246" t="n"/>
      <c r="BV57" s="246" t="n"/>
      <c r="BW57" s="246" t="n"/>
      <c r="BX57" s="246" t="n"/>
      <c r="BY57" s="246" t="n"/>
      <c r="BZ57" s="246" t="n"/>
      <c r="CA57" s="246" t="n"/>
      <c r="CB57" s="246" t="n"/>
      <c r="CC57" s="246" t="n"/>
      <c r="CD57" s="246" t="n"/>
    </row>
    <row r="58" ht="10.5" customHeight="1">
      <c r="B58" s="1061" t="n"/>
      <c r="C58" s="1062" t="n"/>
      <c r="D58" s="1061" t="n"/>
      <c r="G58" s="1062" t="n"/>
      <c r="H58" s="702" t="inlineStr">
        <is>
          <t>□</t>
        </is>
      </c>
      <c r="I58" s="715" t="n"/>
      <c r="J58" s="939" t="n"/>
      <c r="K58" s="939" t="n"/>
      <c r="L58" s="1060" t="n"/>
      <c r="M58" s="717" t="inlineStr">
        <is>
          <t>階</t>
        </is>
      </c>
      <c r="N58" s="939" t="n"/>
      <c r="O58" s="706" t="n"/>
      <c r="P58" s="939" t="n"/>
      <c r="Q58" s="939" t="n"/>
      <c r="R58" s="939" t="n"/>
      <c r="S58" s="636" t="inlineStr">
        <is>
          <t>㎡・</t>
        </is>
      </c>
      <c r="U58" s="704" t="inlineStr">
        <is>
          <t>階</t>
        </is>
      </c>
      <c r="V58" s="939" t="n"/>
      <c r="W58" s="706" t="n"/>
      <c r="X58" s="939" t="n"/>
      <c r="Y58" s="939" t="n"/>
      <c r="Z58" s="939" t="n"/>
      <c r="AA58" s="636" t="inlineStr">
        <is>
          <t>㎡・</t>
        </is>
      </c>
      <c r="AC58" s="704" t="inlineStr">
        <is>
          <t>階</t>
        </is>
      </c>
      <c r="AD58" s="939" t="n"/>
      <c r="AE58" s="706" t="n"/>
      <c r="AF58" s="939" t="n"/>
      <c r="AG58" s="939" t="n"/>
      <c r="AH58" s="939" t="n"/>
      <c r="AI58" s="636" t="inlineStr">
        <is>
          <t>㎡</t>
        </is>
      </c>
      <c r="AM58" s="265" t="n"/>
      <c r="AN58" s="265" t="n"/>
      <c r="AO58" s="252" t="n"/>
      <c r="AP58" s="636" t="inlineStr">
        <is>
          <t>合計</t>
        </is>
      </c>
      <c r="AR58" s="706">
        <f>O56+W56+AE56</f>
        <v/>
      </c>
      <c r="AS58" s="939" t="n"/>
      <c r="AT58" s="939" t="n"/>
      <c r="AU58" s="939" t="n"/>
      <c r="AV58" s="637" t="inlineStr">
        <is>
          <t>㎡</t>
        </is>
      </c>
      <c r="AW58" s="1062" t="n"/>
      <c r="AY58" s="244" t="n"/>
      <c r="BA58" s="246" t="n"/>
      <c r="BB58" s="246" t="n"/>
      <c r="BC58" s="246" t="n"/>
      <c r="BD58" s="246" t="n"/>
      <c r="BE58" s="246" t="n"/>
      <c r="BF58" s="246" t="n"/>
      <c r="BG58" s="246" t="n"/>
      <c r="BH58" s="246" t="n"/>
      <c r="BI58" s="246" t="n"/>
      <c r="BJ58" s="246" t="n"/>
      <c r="BK58" s="246" t="n"/>
      <c r="BL58" s="246" t="n"/>
      <c r="BM58" s="246" t="n"/>
      <c r="BN58" s="246" t="n"/>
      <c r="BO58" s="246" t="n"/>
      <c r="BP58" s="246" t="n"/>
      <c r="BQ58" s="246" t="n"/>
      <c r="BR58" s="246" t="n"/>
      <c r="BS58" s="246" t="n"/>
      <c r="BT58" s="246" t="n"/>
      <c r="BU58" s="246" t="n"/>
      <c r="BV58" s="246" t="n"/>
      <c r="BW58" s="246" t="n"/>
      <c r="BX58" s="246" t="n"/>
      <c r="BY58" s="246" t="n"/>
      <c r="BZ58" s="246" t="n"/>
      <c r="CA58" s="246" t="n"/>
      <c r="CB58" s="246" t="n"/>
      <c r="CC58" s="246" t="n"/>
      <c r="CD58" s="246" t="n"/>
    </row>
    <row r="59" ht="10.5" customHeight="1">
      <c r="B59" s="1061" t="n"/>
      <c r="C59" s="1062" t="n"/>
      <c r="D59" s="1054" t="n"/>
      <c r="E59" s="1055" t="n"/>
      <c r="F59" s="1055" t="n"/>
      <c r="G59" s="1056" t="n"/>
      <c r="H59" s="1051" t="n"/>
      <c r="I59" s="1052" t="n"/>
      <c r="J59" s="1052" t="n"/>
      <c r="K59" s="1052" t="n"/>
      <c r="L59" s="1053" t="n"/>
      <c r="M59" s="1051" t="n"/>
      <c r="N59" s="1052" t="n"/>
      <c r="O59" s="1052" t="n"/>
      <c r="P59" s="1052" t="n"/>
      <c r="Q59" s="1052" t="n"/>
      <c r="R59" s="1052" t="n"/>
      <c r="S59" s="1055" t="n"/>
      <c r="T59" s="1055" t="n"/>
      <c r="U59" s="1052" t="n"/>
      <c r="V59" s="1052" t="n"/>
      <c r="W59" s="1052" t="n"/>
      <c r="X59" s="1052" t="n"/>
      <c r="Y59" s="1052" t="n"/>
      <c r="Z59" s="1052" t="n"/>
      <c r="AA59" s="1055" t="n"/>
      <c r="AB59" s="1055" t="n"/>
      <c r="AC59" s="1052" t="n"/>
      <c r="AD59" s="1052" t="n"/>
      <c r="AE59" s="1052" t="n"/>
      <c r="AF59" s="1052" t="n"/>
      <c r="AG59" s="1052" t="n"/>
      <c r="AH59" s="1052" t="n"/>
      <c r="AI59" s="1055" t="n"/>
      <c r="AJ59" s="1055" t="n"/>
      <c r="AK59" s="267" t="n"/>
      <c r="AL59" s="267" t="n"/>
      <c r="AM59" s="268" t="n"/>
      <c r="AN59" s="268" t="n"/>
      <c r="AO59" s="268" t="n"/>
      <c r="AP59" s="1055" t="n"/>
      <c r="AQ59" s="1055" t="n"/>
      <c r="AR59" s="1052" t="n"/>
      <c r="AS59" s="1052" t="n"/>
      <c r="AT59" s="1052" t="n"/>
      <c r="AU59" s="1052" t="n"/>
      <c r="AV59" s="1055" t="n"/>
      <c r="AW59" s="1056" t="n"/>
      <c r="AY59" s="244" t="n"/>
      <c r="AZ59" s="246" t="n"/>
      <c r="BA59" s="246" t="n"/>
      <c r="BB59" s="246" t="n"/>
      <c r="BC59" s="246" t="n"/>
      <c r="BD59" s="246" t="n"/>
      <c r="BE59" s="246" t="n"/>
      <c r="BF59" s="246" t="n"/>
      <c r="BG59" s="246" t="n"/>
      <c r="BH59" s="246" t="n"/>
      <c r="BI59" s="246" t="n"/>
      <c r="BJ59" s="246" t="n"/>
      <c r="BK59" s="246" t="n"/>
      <c r="BL59" s="246" t="n"/>
      <c r="BM59" s="246" t="n"/>
      <c r="BN59" s="246" t="n"/>
      <c r="BO59" s="246" t="n"/>
      <c r="BP59" s="246" t="n"/>
      <c r="BQ59" s="246" t="n"/>
      <c r="BR59" s="246" t="n"/>
      <c r="BS59" s="246" t="n"/>
      <c r="BT59" s="246" t="n"/>
      <c r="BU59" s="246" t="n"/>
      <c r="BV59" s="246" t="n"/>
      <c r="BW59" s="246" t="n"/>
      <c r="BX59" s="246" t="n"/>
      <c r="BY59" s="246" t="n"/>
      <c r="BZ59" s="246" t="n"/>
      <c r="CA59" s="246" t="n"/>
      <c r="CB59" s="246" t="n"/>
      <c r="CC59" s="246" t="n"/>
    </row>
    <row r="60" ht="10.5" customHeight="1">
      <c r="B60" s="1061" t="n"/>
      <c r="C60" s="1062" t="n"/>
      <c r="D60" s="695" t="inlineStr">
        <is>
          <t>建築時期</t>
        </is>
      </c>
      <c r="E60" s="1039" t="n"/>
      <c r="F60" s="1039" t="n"/>
      <c r="G60" s="1040" t="n"/>
      <c r="H60" s="1070" t="inlineStr">
        <is>
          <t>■</t>
        </is>
      </c>
      <c r="I60" s="1094" t="inlineStr">
        <is>
          <t>昭和</t>
        </is>
      </c>
      <c r="J60" s="1042" t="n"/>
      <c r="K60" s="1042" t="n"/>
      <c r="L60" s="1095" t="n"/>
      <c r="M60" s="1042" t="n"/>
      <c r="N60" s="1096" t="inlineStr">
        <is>
          <t>年</t>
        </is>
      </c>
      <c r="O60" s="1045" t="n"/>
      <c r="P60" s="1095" t="n"/>
      <c r="Q60" s="1042" t="n"/>
      <c r="R60" s="1096" t="inlineStr">
        <is>
          <t>月</t>
        </is>
      </c>
      <c r="S60" s="1045" t="n"/>
      <c r="T60" s="1095" t="n"/>
      <c r="U60" s="1042" t="n"/>
      <c r="V60" s="1096" t="inlineStr">
        <is>
          <t>日新築</t>
        </is>
      </c>
      <c r="W60" s="1045" t="n"/>
      <c r="X60" s="1045" t="n"/>
      <c r="Y60" s="1045" t="n"/>
      <c r="Z60" s="1096" t="inlineStr">
        <is>
          <t>（</t>
        </is>
      </c>
      <c r="AA60" s="1094" t="inlineStr">
        <is>
          <t>増築</t>
        </is>
      </c>
      <c r="AB60" s="1042" t="n"/>
      <c r="AC60" s="1042" t="n"/>
      <c r="AD60" s="1094" t="inlineStr">
        <is>
          <t>昭和</t>
        </is>
      </c>
      <c r="AE60" s="1042" t="n"/>
      <c r="AF60" s="1042" t="n"/>
      <c r="AG60" s="1095" t="n"/>
      <c r="AH60" s="1042" t="n"/>
      <c r="AI60" s="1096" t="inlineStr">
        <is>
          <t>年</t>
        </is>
      </c>
      <c r="AJ60" s="1045" t="n"/>
      <c r="AK60" s="1095" t="n"/>
      <c r="AL60" s="1042" t="n"/>
      <c r="AM60" s="1096" t="inlineStr">
        <is>
          <t>月</t>
        </is>
      </c>
      <c r="AN60" s="1045" t="n"/>
      <c r="AO60" s="1096" t="inlineStr">
        <is>
          <t>）</t>
        </is>
      </c>
      <c r="AP60" s="1089" t="inlineStr">
        <is>
          <t>・</t>
        </is>
      </c>
      <c r="AQ60" s="1045" t="n"/>
      <c r="AR60" s="1072" t="inlineStr">
        <is>
          <t>□</t>
        </is>
      </c>
      <c r="AS60" s="1089" t="inlineStr">
        <is>
          <t>不詳</t>
        </is>
      </c>
      <c r="AT60" s="1045" t="n"/>
      <c r="AU60" s="1045" t="n"/>
      <c r="AV60" s="269" t="n"/>
      <c r="AW60" s="270" t="n"/>
      <c r="AY60" s="244" t="n"/>
      <c r="AZ60" s="246" t="n"/>
      <c r="BA60" s="246" t="n"/>
      <c r="BB60" s="246" t="n"/>
      <c r="BC60" s="246" t="n"/>
      <c r="BD60" s="246" t="n"/>
      <c r="BE60" s="246" t="n"/>
      <c r="BF60" s="246" t="n"/>
      <c r="BG60" s="246" t="n"/>
      <c r="BH60" s="246" t="n"/>
      <c r="BI60" s="246" t="n"/>
      <c r="BJ60" s="246" t="n"/>
      <c r="BK60" s="246" t="n"/>
      <c r="BL60" s="246" t="n"/>
      <c r="BM60" s="246" t="n"/>
      <c r="BN60" s="246" t="n"/>
      <c r="BO60" s="246" t="n"/>
      <c r="BP60" s="246" t="n"/>
      <c r="BQ60" s="246" t="n"/>
      <c r="BR60" s="246" t="n"/>
      <c r="BS60" s="246" t="n"/>
      <c r="BT60" s="246" t="n"/>
      <c r="BU60" s="246" t="n"/>
      <c r="BV60" s="246" t="n"/>
      <c r="BW60" s="246" t="n"/>
      <c r="BX60" s="246" t="n"/>
      <c r="BY60" s="246" t="n"/>
      <c r="BZ60" s="246" t="n"/>
      <c r="CA60" s="246" t="n"/>
      <c r="CB60" s="246" t="n"/>
      <c r="CC60" s="246" t="n"/>
    </row>
    <row r="61" ht="10.5" customHeight="1">
      <c r="B61" s="1054" t="n"/>
      <c r="C61" s="1056" t="n"/>
      <c r="D61" s="1048" t="n"/>
      <c r="E61" s="1049" t="n"/>
      <c r="F61" s="1049" t="n"/>
      <c r="G61" s="1050" t="n"/>
      <c r="H61" s="1051" t="n"/>
      <c r="I61" s="1052" t="n"/>
      <c r="J61" s="1052" t="n"/>
      <c r="K61" s="1052" t="n"/>
      <c r="L61" s="1052" t="n"/>
      <c r="M61" s="1052" t="n"/>
      <c r="N61" s="1055" t="n"/>
      <c r="O61" s="1055" t="n"/>
      <c r="P61" s="1052" t="n"/>
      <c r="Q61" s="1052" t="n"/>
      <c r="R61" s="1055" t="n"/>
      <c r="S61" s="1055" t="n"/>
      <c r="T61" s="1052" t="n"/>
      <c r="U61" s="1052" t="n"/>
      <c r="V61" s="1055" t="n"/>
      <c r="W61" s="1055" t="n"/>
      <c r="X61" s="1055" t="n"/>
      <c r="Y61" s="1055" t="n"/>
      <c r="Z61" s="1055" t="n"/>
      <c r="AA61" s="1052" t="n"/>
      <c r="AB61" s="1052" t="n"/>
      <c r="AC61" s="1052" t="n"/>
      <c r="AD61" s="1052" t="n"/>
      <c r="AE61" s="1052" t="n"/>
      <c r="AF61" s="1052" t="n"/>
      <c r="AG61" s="1052" t="n"/>
      <c r="AH61" s="1052" t="n"/>
      <c r="AI61" s="1055" t="n"/>
      <c r="AJ61" s="1055" t="n"/>
      <c r="AK61" s="1052" t="n"/>
      <c r="AL61" s="1052" t="n"/>
      <c r="AM61" s="1055" t="n"/>
      <c r="AN61" s="1055" t="n"/>
      <c r="AO61" s="1055" t="n"/>
      <c r="AP61" s="1055" t="n"/>
      <c r="AQ61" s="1055" t="n"/>
      <c r="AR61" s="1052" t="n"/>
      <c r="AS61" s="1055" t="n"/>
      <c r="AT61" s="1055" t="n"/>
      <c r="AU61" s="1055" t="n"/>
      <c r="AV61" s="260" t="n"/>
      <c r="AW61" s="271" t="n"/>
      <c r="AY61" s="244" t="n"/>
      <c r="BE61" s="246" t="n"/>
      <c r="BF61" s="246" t="n"/>
      <c r="BG61" s="246" t="n"/>
      <c r="BH61" s="246" t="n"/>
      <c r="BI61" s="246" t="n"/>
      <c r="BJ61" s="246" t="n"/>
      <c r="BK61" s="246" t="n"/>
      <c r="BL61" s="246" t="n"/>
      <c r="BM61" s="246" t="n"/>
      <c r="BN61" s="246" t="n"/>
      <c r="BO61" s="246" t="n"/>
      <c r="BP61" s="246" t="n"/>
      <c r="BQ61" s="246" t="n"/>
      <c r="BR61" s="246" t="n"/>
      <c r="BS61" s="246" t="n"/>
      <c r="BT61" s="246" t="n"/>
      <c r="BU61" s="246" t="n"/>
      <c r="BV61" s="246" t="n"/>
      <c r="BW61" s="246" t="n"/>
      <c r="BX61" s="246" t="n"/>
      <c r="BY61" s="246" t="n"/>
      <c r="BZ61" s="246" t="n"/>
      <c r="CA61" s="246" t="n"/>
      <c r="CB61" s="246" t="n"/>
    </row>
    <row r="62" ht="10.5" customHeight="1">
      <c r="B62" s="1097" t="inlineStr">
        <is>
          <t>宅建業者売主の新築住宅の場合</t>
        </is>
      </c>
      <c r="C62" s="1045" t="n"/>
      <c r="D62" s="1045" t="n"/>
      <c r="E62" s="1045" t="n"/>
      <c r="F62" s="1045" t="n"/>
      <c r="G62" s="1045" t="n"/>
      <c r="H62" s="1045" t="n"/>
      <c r="I62" s="1045" t="n"/>
      <c r="J62" s="1045" t="n"/>
      <c r="K62" s="1046" t="n"/>
      <c r="L62" s="1075" t="inlineStr">
        <is>
          <t>販売瑕疵負担割合</t>
        </is>
      </c>
      <c r="M62" s="1045" t="n"/>
      <c r="N62" s="1045" t="n"/>
      <c r="O62" s="1045" t="n"/>
      <c r="P62" s="1045" t="n"/>
      <c r="Q62" s="1045" t="n"/>
      <c r="R62" s="1045" t="n"/>
      <c r="S62" s="1046" t="n"/>
      <c r="T62" s="1078" t="inlineStr">
        <is>
          <t>-</t>
        </is>
      </c>
      <c r="U62" s="1042" t="n"/>
      <c r="V62" s="1042" t="n"/>
      <c r="W62" s="1073" t="inlineStr">
        <is>
          <t>％</t>
        </is>
      </c>
      <c r="X62" s="1046" t="n"/>
      <c r="Y62" s="1074" t="inlineStr">
        <is>
          <t>住宅瑕疵担保責任保険法人名</t>
        </is>
      </c>
      <c r="Z62" s="1045" t="n"/>
      <c r="AA62" s="1045" t="n"/>
      <c r="AB62" s="1045" t="n"/>
      <c r="AC62" s="1045" t="n"/>
      <c r="AD62" s="1045" t="n"/>
      <c r="AE62" s="1045" t="n"/>
      <c r="AF62" s="1045" t="n"/>
      <c r="AG62" s="1045" t="n"/>
      <c r="AH62" s="1045" t="n"/>
      <c r="AI62" s="1045" t="n"/>
      <c r="AJ62" s="1045" t="n"/>
      <c r="AK62" s="1046" t="n"/>
      <c r="AL62" s="1069" t="inlineStr">
        <is>
          <t>-</t>
        </is>
      </c>
      <c r="AM62" s="1042" t="n"/>
      <c r="AN62" s="1042" t="n"/>
      <c r="AO62" s="1042" t="n"/>
      <c r="AP62" s="1042" t="n"/>
      <c r="AQ62" s="1042" t="n"/>
      <c r="AR62" s="1042" t="n"/>
      <c r="AS62" s="1042" t="n"/>
      <c r="AT62" s="1042" t="n"/>
      <c r="AU62" s="1042" t="n"/>
      <c r="AV62" s="1042" t="n"/>
      <c r="AW62" s="1043" t="n"/>
      <c r="AY62" s="244" t="n"/>
      <c r="BE62" s="246" t="n"/>
      <c r="BF62" s="246" t="n"/>
      <c r="BG62" s="246" t="n"/>
      <c r="BH62" s="246" t="n"/>
      <c r="BI62" s="246" t="n"/>
      <c r="BJ62" s="246" t="n"/>
      <c r="BK62" s="246" t="n"/>
      <c r="BL62" s="246" t="n"/>
      <c r="BM62" s="246" t="n"/>
      <c r="BN62" s="246" t="n"/>
      <c r="BO62" s="246" t="n"/>
      <c r="BP62" s="246" t="n"/>
      <c r="BQ62" s="246" t="n"/>
      <c r="BR62" s="246" t="n"/>
      <c r="BS62" s="246" t="n"/>
      <c r="BT62" s="246" t="n"/>
      <c r="BU62" s="246" t="n"/>
      <c r="BV62" s="246" t="n"/>
      <c r="BW62" s="246" t="n"/>
      <c r="BX62" s="246" t="n"/>
      <c r="BY62" s="246" t="n"/>
      <c r="BZ62" s="246" t="n"/>
      <c r="CA62" s="246" t="n"/>
      <c r="CB62" s="246" t="n"/>
    </row>
    <row r="63" ht="10.5" customHeight="1">
      <c r="B63" s="1054" t="n"/>
      <c r="C63" s="1055" t="n"/>
      <c r="D63" s="1055" t="n"/>
      <c r="E63" s="1055" t="n"/>
      <c r="F63" s="1055" t="n"/>
      <c r="G63" s="1055" t="n"/>
      <c r="H63" s="1055" t="n"/>
      <c r="I63" s="1055" t="n"/>
      <c r="J63" s="1055" t="n"/>
      <c r="K63" s="1056" t="n"/>
      <c r="L63" s="1054" t="n"/>
      <c r="M63" s="1055" t="n"/>
      <c r="N63" s="1055" t="n"/>
      <c r="O63" s="1055" t="n"/>
      <c r="P63" s="1055" t="n"/>
      <c r="Q63" s="1055" t="n"/>
      <c r="R63" s="1055" t="n"/>
      <c r="S63" s="1056" t="n"/>
      <c r="T63" s="1051" t="n"/>
      <c r="U63" s="1052" t="n"/>
      <c r="V63" s="1052" t="n"/>
      <c r="W63" s="1055" t="n"/>
      <c r="X63" s="1056" t="n"/>
      <c r="Y63" s="1054" t="n"/>
      <c r="Z63" s="1055" t="n"/>
      <c r="AA63" s="1055" t="n"/>
      <c r="AB63" s="1055" t="n"/>
      <c r="AC63" s="1055" t="n"/>
      <c r="AD63" s="1055" t="n"/>
      <c r="AE63" s="1055" t="n"/>
      <c r="AF63" s="1055" t="n"/>
      <c r="AG63" s="1055" t="n"/>
      <c r="AH63" s="1055" t="n"/>
      <c r="AI63" s="1055" t="n"/>
      <c r="AJ63" s="1055" t="n"/>
      <c r="AK63" s="1056" t="n"/>
      <c r="AL63" s="1051" t="n"/>
      <c r="AM63" s="1052" t="n"/>
      <c r="AN63" s="1052" t="n"/>
      <c r="AO63" s="1052" t="n"/>
      <c r="AP63" s="1052" t="n"/>
      <c r="AQ63" s="1052" t="n"/>
      <c r="AR63" s="1052" t="n"/>
      <c r="AS63" s="1052" t="n"/>
      <c r="AT63" s="1052" t="n"/>
      <c r="AU63" s="1052" t="n"/>
      <c r="AV63" s="1052" t="n"/>
      <c r="AW63" s="1053" t="n"/>
      <c r="AY63" s="244" t="n"/>
      <c r="BE63" s="246" t="n"/>
      <c r="BF63" s="246" t="n"/>
      <c r="BG63" s="246" t="n"/>
      <c r="BH63" s="246" t="n"/>
      <c r="BI63" s="246" t="n"/>
      <c r="BJ63" s="246" t="n"/>
      <c r="BK63" s="246" t="n"/>
      <c r="BL63" s="246" t="n"/>
      <c r="BM63" s="246" t="n"/>
      <c r="BN63" s="246" t="n"/>
      <c r="BO63" s="246" t="n"/>
      <c r="BP63" s="246" t="n"/>
      <c r="BQ63" s="246" t="n"/>
      <c r="BR63" s="246" t="n"/>
      <c r="BS63" s="246" t="n"/>
      <c r="BT63" s="246" t="n"/>
      <c r="BU63" s="246" t="n"/>
      <c r="BV63" s="246" t="n"/>
      <c r="BW63" s="246" t="n"/>
      <c r="BX63" s="246" t="n"/>
      <c r="BY63" s="246" t="n"/>
      <c r="BZ63" s="246" t="n"/>
      <c r="CA63" s="246" t="n"/>
      <c r="CB63" s="246" t="n"/>
    </row>
    <row r="64" ht="10.5" customHeight="1">
      <c r="B64" s="252" t="n"/>
      <c r="C64" s="252" t="n"/>
      <c r="D64" s="252" t="n"/>
      <c r="E64" s="252" t="n"/>
      <c r="F64" s="252" t="n"/>
      <c r="G64" s="252" t="n"/>
      <c r="H64" s="252" t="n"/>
      <c r="I64" s="252" t="n"/>
      <c r="J64" s="252" t="n"/>
      <c r="K64" s="252" t="n"/>
      <c r="L64" s="272" t="n"/>
      <c r="M64" s="272" t="n"/>
      <c r="N64" s="272" t="n"/>
      <c r="O64" s="273" t="n"/>
      <c r="P64" s="273" t="n"/>
      <c r="Q64" s="273" t="n"/>
      <c r="R64" s="273" t="n"/>
      <c r="S64" s="272" t="n"/>
      <c r="T64" s="272" t="n"/>
      <c r="U64" s="272" t="n"/>
      <c r="V64" s="272" t="n"/>
      <c r="W64" s="272" t="n"/>
      <c r="X64" s="272" t="n"/>
      <c r="AL64" s="272" t="n"/>
      <c r="AM64" s="272" t="n"/>
      <c r="AN64" s="272" t="n"/>
      <c r="AO64" s="272" t="n"/>
      <c r="AP64" s="272" t="n"/>
      <c r="AQ64" s="272" t="n"/>
      <c r="AR64" s="272" t="n"/>
      <c r="AS64" s="272" t="n"/>
      <c r="AT64" s="272" t="n"/>
      <c r="AU64" s="272" t="n"/>
      <c r="AV64" s="272" t="n"/>
      <c r="AW64" s="272" t="n"/>
      <c r="AY64" s="244" t="n"/>
      <c r="BE64" s="246" t="n"/>
      <c r="BF64" s="246" t="n"/>
      <c r="BG64" s="246" t="n"/>
      <c r="BH64" s="246" t="n"/>
      <c r="BI64" s="246" t="n"/>
      <c r="BJ64" s="246" t="n"/>
      <c r="BK64" s="246" t="n"/>
      <c r="BL64" s="246" t="n"/>
      <c r="BM64" s="246" t="n"/>
      <c r="BN64" s="246" t="n"/>
      <c r="BO64" s="246" t="n"/>
      <c r="BP64" s="246" t="n"/>
      <c r="BQ64" s="246" t="n"/>
      <c r="BR64" s="246" t="n"/>
      <c r="BS64" s="246" t="n"/>
      <c r="BT64" s="246" t="n"/>
      <c r="BU64" s="246" t="n"/>
      <c r="BV64" s="246" t="n"/>
      <c r="BW64" s="246" t="n"/>
      <c r="BX64" s="246" t="n"/>
      <c r="BY64" s="246" t="n"/>
      <c r="BZ64" s="246" t="n"/>
      <c r="CA64" s="246" t="n"/>
      <c r="CB64" s="246" t="n"/>
    </row>
    <row r="65" ht="10.5" customHeight="1">
      <c r="B65" s="1098" t="inlineStr">
        <is>
          <t>取引条件</t>
        </is>
      </c>
      <c r="C65" s="1046" t="n"/>
      <c r="D65" s="1099" t="inlineStr">
        <is>
          <t>売買金額</t>
        </is>
      </c>
      <c r="E65" s="1045" t="n"/>
      <c r="F65" s="1045" t="n"/>
      <c r="G65" s="1046" t="n"/>
      <c r="H65" s="257" t="n"/>
      <c r="I65" s="257" t="n"/>
      <c r="J65" s="257" t="n"/>
      <c r="K65" s="257" t="n"/>
      <c r="L65" s="257" t="n"/>
      <c r="M65" s="257" t="n"/>
      <c r="N65" s="257" t="n"/>
      <c r="O65" s="274" t="n"/>
      <c r="P65" s="274" t="n"/>
      <c r="Q65" s="274" t="n"/>
      <c r="R65" s="274" t="n"/>
      <c r="S65" s="257" t="n"/>
      <c r="T65" s="257" t="n"/>
      <c r="U65" s="1100" t="inlineStr">
        <is>
          <t>（左記売買代金のうち土地価格）</t>
        </is>
      </c>
      <c r="V65" s="1045" t="n"/>
      <c r="W65" s="1045" t="n"/>
      <c r="X65" s="1045" t="n"/>
      <c r="Y65" s="1045" t="n"/>
      <c r="Z65" s="1045" t="n"/>
      <c r="AA65" s="1045" t="n"/>
      <c r="AB65" s="1045" t="n"/>
      <c r="AC65" s="1045" t="n"/>
      <c r="AD65" s="1045" t="n"/>
      <c r="AE65" s="1045" t="n"/>
      <c r="AF65" s="1045" t="n"/>
      <c r="AG65" s="1045" t="n"/>
      <c r="AH65" s="1045" t="n"/>
      <c r="AI65" s="1045" t="n"/>
      <c r="AJ65" s="1045" t="n"/>
      <c r="AK65" s="1045" t="n"/>
      <c r="AL65" s="1045" t="n"/>
      <c r="AM65" s="1101">
        <f>'②（土地・建物）事業収支シート'!H29+'②（土地・建物）事業収支シート'!H28</f>
        <v/>
      </c>
      <c r="AN65" s="1042" t="n"/>
      <c r="AO65" s="1042" t="n"/>
      <c r="AP65" s="1042" t="n"/>
      <c r="AQ65" s="1042" t="n"/>
      <c r="AR65" s="1042" t="n"/>
      <c r="AS65" s="1042" t="n"/>
      <c r="AT65" s="1042" t="n"/>
      <c r="AU65" s="1042" t="n"/>
      <c r="AV65" s="1102" t="inlineStr">
        <is>
          <t>円</t>
        </is>
      </c>
      <c r="AW65" s="1046" t="n"/>
      <c r="AY65" s="244" t="n"/>
      <c r="BE65" s="246" t="n"/>
      <c r="BF65" s="246" t="n"/>
      <c r="BG65" s="246" t="n"/>
      <c r="BH65" s="246" t="n"/>
      <c r="BI65" s="246" t="n"/>
      <c r="BJ65" s="246" t="n"/>
      <c r="BK65" s="246" t="n"/>
      <c r="BL65" s="246" t="n"/>
      <c r="BM65" s="246" t="n"/>
      <c r="BN65" s="246" t="n"/>
      <c r="BO65" s="246" t="n"/>
      <c r="BP65" s="246" t="n"/>
      <c r="BQ65" s="246" t="n"/>
      <c r="BR65" s="246" t="n"/>
      <c r="BS65" s="246" t="n"/>
      <c r="BT65" s="246" t="n"/>
      <c r="BU65" s="246" t="n"/>
      <c r="BV65" s="246" t="n"/>
      <c r="BW65" s="246" t="n"/>
      <c r="BX65" s="246" t="n"/>
      <c r="BY65" s="246" t="n"/>
      <c r="BZ65" s="246" t="n"/>
      <c r="CA65" s="246" t="n"/>
      <c r="CB65" s="246" t="n"/>
    </row>
    <row r="66" ht="10.5" customHeight="1">
      <c r="B66" s="1061" t="n"/>
      <c r="C66" s="1062" t="n"/>
      <c r="G66" s="1062" t="n"/>
      <c r="H66" s="272" t="n"/>
      <c r="I66" s="272" t="n"/>
      <c r="J66" s="272" t="n"/>
      <c r="K66" s="272" t="n"/>
      <c r="L66" s="272" t="n"/>
      <c r="M66" s="272" t="n"/>
      <c r="N66" s="272" t="n"/>
      <c r="O66" s="273" t="n"/>
      <c r="P66" s="273" t="n"/>
      <c r="Q66" s="273" t="n"/>
      <c r="R66" s="273" t="n"/>
      <c r="S66" s="272" t="n"/>
      <c r="T66" s="272" t="n"/>
      <c r="U66" s="1054" t="n"/>
      <c r="V66" s="1055" t="n"/>
      <c r="W66" s="1055" t="n"/>
      <c r="X66" s="1055" t="n"/>
      <c r="Y66" s="1055" t="n"/>
      <c r="Z66" s="1055" t="n"/>
      <c r="AA66" s="1055" t="n"/>
      <c r="AB66" s="1055" t="n"/>
      <c r="AC66" s="1055" t="n"/>
      <c r="AD66" s="1055" t="n"/>
      <c r="AE66" s="1055" t="n"/>
      <c r="AF66" s="1055" t="n"/>
      <c r="AG66" s="1055" t="n"/>
      <c r="AH66" s="1055" t="n"/>
      <c r="AI66" s="1055" t="n"/>
      <c r="AJ66" s="1055" t="n"/>
      <c r="AK66" s="1055" t="n"/>
      <c r="AL66" s="1055" t="n"/>
      <c r="AM66" s="1052" t="n"/>
      <c r="AN66" s="1052" t="n"/>
      <c r="AO66" s="1052" t="n"/>
      <c r="AP66" s="1052" t="n"/>
      <c r="AQ66" s="1052" t="n"/>
      <c r="AR66" s="1052" t="n"/>
      <c r="AS66" s="1052" t="n"/>
      <c r="AT66" s="1052" t="n"/>
      <c r="AU66" s="1052" t="n"/>
      <c r="AV66" s="1055" t="n"/>
      <c r="AW66" s="1056" t="n"/>
      <c r="AY66" s="244" t="n"/>
      <c r="BE66" s="246" t="n"/>
      <c r="BF66" s="246" t="n"/>
      <c r="BG66" s="246" t="n"/>
      <c r="BH66" s="246" t="n"/>
      <c r="BI66" s="246" t="n"/>
      <c r="BJ66" s="246" t="n"/>
      <c r="BK66" s="246" t="n"/>
      <c r="BL66" s="246" t="n"/>
      <c r="BM66" s="246" t="n"/>
      <c r="BN66" s="246" t="n"/>
      <c r="BO66" s="246" t="n"/>
      <c r="BP66" s="246" t="n"/>
      <c r="BQ66" s="246" t="n"/>
      <c r="BR66" s="246" t="n"/>
      <c r="BS66" s="246" t="n"/>
      <c r="BT66" s="246" t="n"/>
      <c r="BU66" s="246" t="n"/>
      <c r="BV66" s="246" t="n"/>
      <c r="BW66" s="246" t="n"/>
      <c r="BX66" s="246" t="n"/>
      <c r="BY66" s="246" t="n"/>
      <c r="BZ66" s="246" t="n"/>
      <c r="CA66" s="246" t="n"/>
      <c r="CB66" s="246" t="n"/>
    </row>
    <row r="67" ht="10.5" customHeight="1">
      <c r="B67" s="1061" t="n"/>
      <c r="C67" s="1062" t="n"/>
      <c r="G67" s="1062" t="n"/>
      <c r="H67" s="1103">
        <f>'②（土地・建物）事業収支シート'!M29</f>
        <v/>
      </c>
      <c r="I67" s="939" t="n"/>
      <c r="J67" s="939" t="n"/>
      <c r="K67" s="939" t="n"/>
      <c r="L67" s="939" t="n"/>
      <c r="M67" s="939" t="n"/>
      <c r="N67" s="939" t="n"/>
      <c r="O67" s="939" t="n"/>
      <c r="P67" s="939" t="n"/>
      <c r="Q67" s="939" t="n"/>
      <c r="R67" s="939" t="n"/>
      <c r="S67" s="635" t="inlineStr">
        <is>
          <t>円</t>
        </is>
      </c>
      <c r="T67" s="1062" t="n"/>
      <c r="U67" s="1100" t="inlineStr">
        <is>
          <t>（左記売買代金のうち建物価格）</t>
        </is>
      </c>
      <c r="V67" s="1045" t="n"/>
      <c r="W67" s="1045" t="n"/>
      <c r="X67" s="1045" t="n"/>
      <c r="Y67" s="1045" t="n"/>
      <c r="Z67" s="1045" t="n"/>
      <c r="AA67" s="1045" t="n"/>
      <c r="AB67" s="1045" t="n"/>
      <c r="AC67" s="1045" t="n"/>
      <c r="AD67" s="1045" t="n"/>
      <c r="AE67" s="1045" t="n"/>
      <c r="AF67" s="1045" t="n"/>
      <c r="AG67" s="1045" t="n"/>
      <c r="AH67" s="1045" t="n"/>
      <c r="AI67" s="1045" t="n"/>
      <c r="AJ67" s="1045" t="n"/>
      <c r="AK67" s="1045" t="n"/>
      <c r="AL67" s="1045" t="n"/>
      <c r="AM67" s="1101">
        <f>'②（土地・建物）事業収支シート'!H30</f>
        <v/>
      </c>
      <c r="AN67" s="1042" t="n"/>
      <c r="AO67" s="1042" t="n"/>
      <c r="AP67" s="1042" t="n"/>
      <c r="AQ67" s="1042" t="n"/>
      <c r="AR67" s="1042" t="n"/>
      <c r="AS67" s="1042" t="n"/>
      <c r="AT67" s="1042" t="n"/>
      <c r="AU67" s="1042" t="n"/>
      <c r="AV67" s="1102" t="inlineStr">
        <is>
          <t>円</t>
        </is>
      </c>
      <c r="AW67" s="1046" t="n"/>
      <c r="AY67" s="244" t="n"/>
      <c r="BE67" s="246" t="n"/>
      <c r="BF67" s="246" t="n"/>
      <c r="BG67" s="246" t="n"/>
      <c r="BH67" s="246" t="n"/>
      <c r="BI67" s="246" t="n"/>
      <c r="BJ67" s="246" t="n"/>
      <c r="BK67" s="246" t="n"/>
      <c r="BL67" s="246" t="n"/>
      <c r="BM67" s="246" t="n"/>
      <c r="BN67" s="246" t="n"/>
      <c r="BO67" s="246" t="n"/>
      <c r="BP67" s="246" t="n"/>
      <c r="BQ67" s="246" t="n"/>
      <c r="BR67" s="246" t="n"/>
      <c r="BS67" s="246" t="n"/>
      <c r="BT67" s="246" t="n"/>
      <c r="BU67" s="246" t="n"/>
      <c r="BV67" s="246" t="n"/>
      <c r="BW67" s="246" t="n"/>
      <c r="BX67" s="246" t="n"/>
      <c r="BY67" s="246" t="n"/>
      <c r="BZ67" s="246" t="n"/>
      <c r="CA67" s="246" t="n"/>
      <c r="CB67" s="246" t="n"/>
    </row>
    <row r="68" ht="10.5" customHeight="1">
      <c r="B68" s="1061" t="n"/>
      <c r="C68" s="1062" t="n"/>
      <c r="G68" s="1062" t="n"/>
      <c r="H68" s="1082" t="n"/>
      <c r="I68" s="939" t="n"/>
      <c r="J68" s="939" t="n"/>
      <c r="K68" s="939" t="n"/>
      <c r="L68" s="939" t="n"/>
      <c r="M68" s="939" t="n"/>
      <c r="N68" s="939" t="n"/>
      <c r="O68" s="939" t="n"/>
      <c r="P68" s="939" t="n"/>
      <c r="Q68" s="939" t="n"/>
      <c r="R68" s="939" t="n"/>
      <c r="T68" s="1062" t="n"/>
      <c r="U68" s="1054" t="n"/>
      <c r="V68" s="1055" t="n"/>
      <c r="W68" s="1055" t="n"/>
      <c r="X68" s="1055" t="n"/>
      <c r="Y68" s="1055" t="n"/>
      <c r="Z68" s="1055" t="n"/>
      <c r="AA68" s="1055" t="n"/>
      <c r="AB68" s="1055" t="n"/>
      <c r="AC68" s="1055" t="n"/>
      <c r="AD68" s="1055" t="n"/>
      <c r="AE68" s="1055" t="n"/>
      <c r="AF68" s="1055" t="n"/>
      <c r="AG68" s="1055" t="n"/>
      <c r="AH68" s="1055" t="n"/>
      <c r="AI68" s="1055" t="n"/>
      <c r="AJ68" s="1055" t="n"/>
      <c r="AK68" s="1055" t="n"/>
      <c r="AL68" s="1055" t="n"/>
      <c r="AM68" s="1052" t="n"/>
      <c r="AN68" s="1052" t="n"/>
      <c r="AO68" s="1052" t="n"/>
      <c r="AP68" s="1052" t="n"/>
      <c r="AQ68" s="1052" t="n"/>
      <c r="AR68" s="1052" t="n"/>
      <c r="AS68" s="1052" t="n"/>
      <c r="AT68" s="1052" t="n"/>
      <c r="AU68" s="1052" t="n"/>
      <c r="AV68" s="1055" t="n"/>
      <c r="AW68" s="1056" t="n"/>
      <c r="AY68" s="244" t="n"/>
      <c r="BE68" s="246" t="n"/>
      <c r="BF68" s="246" t="n"/>
      <c r="BG68" s="246" t="n"/>
      <c r="BH68" s="246" t="n"/>
      <c r="BI68" s="246" t="n"/>
      <c r="BJ68" s="246" t="n"/>
      <c r="BK68" s="246" t="n"/>
      <c r="BL68" s="246" t="n"/>
      <c r="BM68" s="246" t="n"/>
      <c r="BN68" s="246" t="n"/>
      <c r="BO68" s="246" t="n"/>
      <c r="BP68" s="246" t="n"/>
      <c r="BQ68" s="246" t="n"/>
      <c r="BR68" s="246" t="n"/>
      <c r="BS68" s="246" t="n"/>
      <c r="BT68" s="246" t="n"/>
      <c r="BU68" s="246" t="n"/>
      <c r="BV68" s="246" t="n"/>
      <c r="BW68" s="246" t="n"/>
      <c r="BX68" s="246" t="n"/>
      <c r="BY68" s="246" t="n"/>
      <c r="BZ68" s="246" t="n"/>
      <c r="CA68" s="246" t="n"/>
      <c r="CB68" s="246" t="n"/>
    </row>
    <row r="69" ht="10.5" customHeight="1">
      <c r="B69" s="1061" t="n"/>
      <c r="C69" s="1062" t="n"/>
      <c r="G69" s="1062" t="n"/>
      <c r="H69" s="272" t="n"/>
      <c r="I69" s="272" t="n"/>
      <c r="J69" s="272" t="n"/>
      <c r="K69" s="272" t="n"/>
      <c r="L69" s="272" t="n"/>
      <c r="M69" s="272" t="n"/>
      <c r="N69" s="272" t="n"/>
      <c r="O69" s="273" t="n"/>
      <c r="P69" s="273" t="n"/>
      <c r="Q69" s="273" t="n"/>
      <c r="R69" s="273" t="n"/>
      <c r="S69" s="272" t="n"/>
      <c r="T69" s="272" t="n"/>
      <c r="U69" s="656" t="inlineStr">
        <is>
          <t>（左記売買代金のうち消費税等相当額）</t>
        </is>
      </c>
      <c r="AM69" s="1101">
        <f>'②（土地・建物）事業収支シート'!I30</f>
        <v/>
      </c>
      <c r="AN69" s="1042" t="n"/>
      <c r="AO69" s="1042" t="n"/>
      <c r="AP69" s="1042" t="n"/>
      <c r="AQ69" s="1042" t="n"/>
      <c r="AR69" s="1042" t="n"/>
      <c r="AS69" s="1042" t="n"/>
      <c r="AT69" s="1042" t="n"/>
      <c r="AU69" s="1042" t="n"/>
      <c r="AV69" s="637" t="inlineStr">
        <is>
          <t>円</t>
        </is>
      </c>
      <c r="AW69" s="1062" t="n"/>
      <c r="AY69" s="244" t="n"/>
      <c r="BE69" s="246" t="n"/>
      <c r="BF69" s="246" t="n"/>
      <c r="BG69" s="246" t="n"/>
      <c r="BH69" s="246" t="n"/>
      <c r="BI69" s="246" t="n"/>
      <c r="BJ69" s="246" t="n"/>
      <c r="BK69" s="246" t="n"/>
      <c r="BL69" s="246" t="n"/>
      <c r="BM69" s="246" t="n"/>
      <c r="BN69" s="246" t="n"/>
      <c r="BO69" s="246" t="n"/>
      <c r="BP69" s="246" t="n"/>
      <c r="BQ69" s="246" t="n"/>
      <c r="BR69" s="246" t="n"/>
      <c r="BS69" s="246" t="n"/>
      <c r="BT69" s="246" t="n"/>
      <c r="BU69" s="246" t="n"/>
      <c r="BV69" s="246" t="n"/>
      <c r="BW69" s="246" t="n"/>
      <c r="BX69" s="246" t="n"/>
      <c r="BY69" s="246" t="n"/>
      <c r="BZ69" s="246" t="n"/>
      <c r="CA69" s="246" t="n"/>
      <c r="CB69" s="246" t="n"/>
    </row>
    <row r="70" ht="10.5" customHeight="1">
      <c r="B70" s="1061" t="n"/>
      <c r="C70" s="1062" t="n"/>
      <c r="D70" s="1055" t="n"/>
      <c r="E70" s="1055" t="n"/>
      <c r="F70" s="1055" t="n"/>
      <c r="G70" s="1056" t="n"/>
      <c r="H70" s="260" t="n"/>
      <c r="I70" s="260" t="n"/>
      <c r="J70" s="260" t="n"/>
      <c r="K70" s="260" t="n"/>
      <c r="L70" s="260" t="n"/>
      <c r="M70" s="260" t="n"/>
      <c r="N70" s="260" t="n"/>
      <c r="O70" s="268" t="n"/>
      <c r="P70" s="268" t="n"/>
      <c r="Q70" s="268" t="n"/>
      <c r="R70" s="268" t="n"/>
      <c r="S70" s="260" t="n"/>
      <c r="T70" s="260" t="n"/>
      <c r="U70" s="1054" t="n"/>
      <c r="V70" s="1055" t="n"/>
      <c r="W70" s="1055" t="n"/>
      <c r="X70" s="1055" t="n"/>
      <c r="Y70" s="1055" t="n"/>
      <c r="Z70" s="1055" t="n"/>
      <c r="AA70" s="1055" t="n"/>
      <c r="AB70" s="1055" t="n"/>
      <c r="AC70" s="1055" t="n"/>
      <c r="AD70" s="1055" t="n"/>
      <c r="AE70" s="1055" t="n"/>
      <c r="AF70" s="1055" t="n"/>
      <c r="AG70" s="1055" t="n"/>
      <c r="AH70" s="1055" t="n"/>
      <c r="AI70" s="1055" t="n"/>
      <c r="AJ70" s="1055" t="n"/>
      <c r="AK70" s="1055" t="n"/>
      <c r="AL70" s="1055" t="n"/>
      <c r="AM70" s="1052" t="n"/>
      <c r="AN70" s="1052" t="n"/>
      <c r="AO70" s="1052" t="n"/>
      <c r="AP70" s="1052" t="n"/>
      <c r="AQ70" s="1052" t="n"/>
      <c r="AR70" s="1052" t="n"/>
      <c r="AS70" s="1052" t="n"/>
      <c r="AT70" s="1052" t="n"/>
      <c r="AU70" s="1052" t="n"/>
      <c r="AV70" s="1055" t="n"/>
      <c r="AW70" s="1056" t="n"/>
      <c r="AY70" s="244" t="n"/>
      <c r="BE70" s="246" t="n"/>
      <c r="BF70" s="246" t="n"/>
      <c r="BG70" s="246" t="n"/>
      <c r="BH70" s="246" t="n"/>
      <c r="BI70" s="246" t="n"/>
      <c r="BJ70" s="246" t="n"/>
      <c r="BK70" s="246" t="n"/>
      <c r="BL70" s="246" t="n"/>
      <c r="BM70" s="246" t="n"/>
      <c r="BN70" s="246" t="n"/>
      <c r="BO70" s="246" t="n"/>
      <c r="BP70" s="246" t="n"/>
      <c r="BQ70" s="246" t="n"/>
      <c r="BR70" s="246" t="n"/>
      <c r="BS70" s="246" t="n"/>
      <c r="BT70" s="246" t="n"/>
      <c r="BU70" s="246" t="n"/>
      <c r="BV70" s="246" t="n"/>
      <c r="BW70" s="246" t="n"/>
      <c r="BX70" s="246" t="n"/>
      <c r="BY70" s="246" t="n"/>
      <c r="BZ70" s="246" t="n"/>
      <c r="CA70" s="246" t="n"/>
      <c r="CB70" s="246" t="n"/>
    </row>
    <row r="71" ht="10.5" customHeight="1">
      <c r="B71" s="1061" t="n"/>
      <c r="C71" s="1062" t="n"/>
      <c r="D71" s="1099" t="inlineStr">
        <is>
          <t>手付金</t>
        </is>
      </c>
      <c r="E71" s="1045" t="n"/>
      <c r="F71" s="1045" t="n"/>
      <c r="G71" s="1046" t="n"/>
      <c r="H71" s="1104">
        <f>'②（土地・建物）事業収支シート'!H28</f>
        <v/>
      </c>
      <c r="I71" s="1042" t="n"/>
      <c r="J71" s="1042" t="n"/>
      <c r="K71" s="1042" t="n"/>
      <c r="L71" s="1042" t="n"/>
      <c r="M71" s="1042" t="n"/>
      <c r="N71" s="1042" t="n"/>
      <c r="O71" s="1042" t="n"/>
      <c r="P71" s="1042" t="n"/>
      <c r="Q71" s="1042" t="n"/>
      <c r="R71" s="637" t="inlineStr">
        <is>
          <t>円</t>
        </is>
      </c>
      <c r="S71" s="1062" t="n"/>
      <c r="T71" s="1099" t="inlineStr">
        <is>
          <t>内金①</t>
        </is>
      </c>
      <c r="U71" s="1045" t="n"/>
      <c r="V71" s="1045" t="n"/>
      <c r="W71" s="1046" t="n"/>
      <c r="X71" s="1101" t="n"/>
      <c r="Y71" s="1042" t="n"/>
      <c r="Z71" s="1042" t="n"/>
      <c r="AA71" s="1042" t="n"/>
      <c r="AB71" s="1042" t="n"/>
      <c r="AC71" s="1042" t="n"/>
      <c r="AD71" s="1042" t="n"/>
      <c r="AE71" s="1042" t="n"/>
      <c r="AF71" s="1042" t="n"/>
      <c r="AG71" s="637" t="inlineStr">
        <is>
          <t>円</t>
        </is>
      </c>
      <c r="AH71" s="1062" t="n"/>
      <c r="AI71" s="1099" t="inlineStr">
        <is>
          <t>内金②</t>
        </is>
      </c>
      <c r="AJ71" s="1045" t="n"/>
      <c r="AK71" s="1045" t="n"/>
      <c r="AL71" s="1046" t="n"/>
      <c r="AM71" s="1101" t="n"/>
      <c r="AN71" s="1042" t="n"/>
      <c r="AO71" s="1042" t="n"/>
      <c r="AP71" s="1042" t="n"/>
      <c r="AQ71" s="1042" t="n"/>
      <c r="AR71" s="1042" t="n"/>
      <c r="AS71" s="1042" t="n"/>
      <c r="AT71" s="1042" t="n"/>
      <c r="AU71" s="1042" t="n"/>
      <c r="AV71" s="637" t="inlineStr">
        <is>
          <t>円</t>
        </is>
      </c>
      <c r="AW71" s="1062" t="n"/>
      <c r="AY71" s="244" t="n"/>
    </row>
    <row r="72" ht="10.5" customHeight="1">
      <c r="B72" s="1061" t="n"/>
      <c r="C72" s="1062" t="n"/>
      <c r="D72" s="1055" t="n"/>
      <c r="E72" s="1055" t="n"/>
      <c r="F72" s="1055" t="n"/>
      <c r="G72" s="1056" t="n"/>
      <c r="H72" s="1051" t="n"/>
      <c r="I72" s="1052" t="n"/>
      <c r="J72" s="1052" t="n"/>
      <c r="K72" s="1052" t="n"/>
      <c r="L72" s="1052" t="n"/>
      <c r="M72" s="1052" t="n"/>
      <c r="N72" s="1052" t="n"/>
      <c r="O72" s="1052" t="n"/>
      <c r="P72" s="1052" t="n"/>
      <c r="Q72" s="1052" t="n"/>
      <c r="R72" s="1055" t="n"/>
      <c r="S72" s="1056" t="n"/>
      <c r="T72" s="1055" t="n"/>
      <c r="U72" s="1055" t="n"/>
      <c r="V72" s="1055" t="n"/>
      <c r="W72" s="1056" t="n"/>
      <c r="X72" s="1052" t="n"/>
      <c r="Y72" s="1052" t="n"/>
      <c r="Z72" s="1052" t="n"/>
      <c r="AA72" s="1052" t="n"/>
      <c r="AB72" s="1052" t="n"/>
      <c r="AC72" s="1052" t="n"/>
      <c r="AD72" s="1052" t="n"/>
      <c r="AE72" s="1052" t="n"/>
      <c r="AF72" s="1052" t="n"/>
      <c r="AG72" s="1055" t="n"/>
      <c r="AH72" s="1056" t="n"/>
      <c r="AI72" s="1055" t="n"/>
      <c r="AJ72" s="1055" t="n"/>
      <c r="AK72" s="1055" t="n"/>
      <c r="AL72" s="1056" t="n"/>
      <c r="AM72" s="1052" t="n"/>
      <c r="AN72" s="1052" t="n"/>
      <c r="AO72" s="1052" t="n"/>
      <c r="AP72" s="1052" t="n"/>
      <c r="AQ72" s="1052" t="n"/>
      <c r="AR72" s="1052" t="n"/>
      <c r="AS72" s="1052" t="n"/>
      <c r="AT72" s="1052" t="n"/>
      <c r="AU72" s="1052" t="n"/>
      <c r="AV72" s="1055" t="n"/>
      <c r="AW72" s="1056" t="n"/>
      <c r="AY72" s="244" t="n"/>
    </row>
    <row r="73" ht="10.5" customHeight="1">
      <c r="B73" s="1061" t="n"/>
      <c r="C73" s="1062" t="n"/>
      <c r="D73" s="1099" t="inlineStr">
        <is>
          <t>交換差金</t>
        </is>
      </c>
      <c r="E73" s="1045" t="n"/>
      <c r="F73" s="1045" t="n"/>
      <c r="G73" s="1046" t="n"/>
      <c r="H73" s="1105" t="inlineStr">
        <is>
          <t>□</t>
        </is>
      </c>
      <c r="I73" s="1106" t="inlineStr">
        <is>
          <t>支払う</t>
        </is>
      </c>
      <c r="J73" s="1045" t="n"/>
      <c r="K73" s="1045" t="n"/>
      <c r="L73" s="1045" t="n"/>
      <c r="M73" s="1107" t="inlineStr">
        <is>
          <t>□</t>
        </is>
      </c>
      <c r="N73" s="1106" t="inlineStr">
        <is>
          <t>受領する</t>
        </is>
      </c>
      <c r="O73" s="1045" t="n"/>
      <c r="P73" s="1045" t="n"/>
      <c r="Q73" s="1045" t="n"/>
      <c r="R73" s="1045" t="n"/>
      <c r="S73" s="1108" t="inlineStr">
        <is>
          <t>（差金額）</t>
        </is>
      </c>
      <c r="T73" s="1045" t="n"/>
      <c r="U73" s="1045" t="n"/>
      <c r="V73" s="1109" t="n"/>
      <c r="W73" s="1042" t="n"/>
      <c r="X73" s="1042" t="n"/>
      <c r="Y73" s="1042" t="n"/>
      <c r="Z73" s="1042" t="n"/>
      <c r="AA73" s="1042" t="n"/>
      <c r="AB73" s="1042" t="n"/>
      <c r="AC73" s="1042" t="n"/>
      <c r="AD73" s="1042" t="n"/>
      <c r="AE73" s="1042" t="n"/>
      <c r="AF73" s="1110" t="inlineStr">
        <is>
          <t>円</t>
        </is>
      </c>
      <c r="AG73" s="1046" t="n"/>
      <c r="AH73" s="1111" t="inlineStr">
        <is>
          <t>（このうち消費税相当額）</t>
        </is>
      </c>
      <c r="AI73" s="1045" t="n"/>
      <c r="AJ73" s="1045" t="n"/>
      <c r="AK73" s="1045" t="n"/>
      <c r="AL73" s="1045" t="n"/>
      <c r="AM73" s="1045" t="n"/>
      <c r="AN73" s="1109" t="n"/>
      <c r="AO73" s="1042" t="n"/>
      <c r="AP73" s="1042" t="n"/>
      <c r="AQ73" s="1042" t="n"/>
      <c r="AR73" s="1042" t="n"/>
      <c r="AS73" s="1042" t="n"/>
      <c r="AT73" s="1042" t="n"/>
      <c r="AU73" s="1042" t="n"/>
      <c r="AV73" s="1110" t="inlineStr">
        <is>
          <t>円</t>
        </is>
      </c>
      <c r="AW73" s="1046" t="n"/>
      <c r="AY73" s="244" t="n"/>
      <c r="BE73" s="246" t="n"/>
      <c r="BF73" s="246" t="n"/>
      <c r="BG73" s="246" t="n"/>
      <c r="BH73" s="246" t="n"/>
      <c r="BI73" s="246" t="n"/>
      <c r="BJ73" s="246" t="n"/>
      <c r="BK73" s="246" t="n"/>
      <c r="BL73" s="246" t="n"/>
      <c r="BM73" s="246" t="n"/>
      <c r="BN73" s="246" t="n"/>
      <c r="BO73" s="246" t="n"/>
      <c r="BP73" s="246" t="n"/>
      <c r="BQ73" s="246" t="n"/>
      <c r="BR73" s="246" t="n"/>
      <c r="BS73" s="246" t="n"/>
      <c r="BT73" s="246" t="n"/>
      <c r="BU73" s="246" t="n"/>
      <c r="BV73" s="246" t="n"/>
      <c r="BW73" s="246" t="n"/>
      <c r="BX73" s="246" t="n"/>
      <c r="BY73" s="246" t="n"/>
      <c r="BZ73" s="246" t="n"/>
      <c r="CA73" s="246" t="n"/>
      <c r="CB73" s="246" t="n"/>
    </row>
    <row r="74" ht="10.5" customHeight="1">
      <c r="B74" s="1061" t="n"/>
      <c r="C74" s="1062" t="n"/>
      <c r="D74" s="1055" t="n"/>
      <c r="E74" s="1055" t="n"/>
      <c r="F74" s="1055" t="n"/>
      <c r="G74" s="1056" t="n"/>
      <c r="H74" s="1051" t="n"/>
      <c r="I74" s="1055" t="n"/>
      <c r="J74" s="1055" t="n"/>
      <c r="K74" s="1055" t="n"/>
      <c r="L74" s="1055" t="n"/>
      <c r="M74" s="1052" t="n"/>
      <c r="N74" s="1055" t="n"/>
      <c r="O74" s="1055" t="n"/>
      <c r="P74" s="1055" t="n"/>
      <c r="Q74" s="1055" t="n"/>
      <c r="R74" s="1055" t="n"/>
      <c r="S74" s="1054" t="n"/>
      <c r="T74" s="1055" t="n"/>
      <c r="U74" s="1055" t="n"/>
      <c r="V74" s="1052" t="n"/>
      <c r="W74" s="1052" t="n"/>
      <c r="X74" s="1052" t="n"/>
      <c r="Y74" s="1052" t="n"/>
      <c r="Z74" s="1052" t="n"/>
      <c r="AA74" s="1052" t="n"/>
      <c r="AB74" s="1052" t="n"/>
      <c r="AC74" s="1052" t="n"/>
      <c r="AD74" s="1052" t="n"/>
      <c r="AE74" s="1052" t="n"/>
      <c r="AF74" s="1055" t="n"/>
      <c r="AG74" s="1056" t="n"/>
      <c r="AH74" s="1055" t="n"/>
      <c r="AI74" s="1055" t="n"/>
      <c r="AJ74" s="1055" t="n"/>
      <c r="AK74" s="1055" t="n"/>
      <c r="AL74" s="1055" t="n"/>
      <c r="AM74" s="1055" t="n"/>
      <c r="AN74" s="1052" t="n"/>
      <c r="AO74" s="1052" t="n"/>
      <c r="AP74" s="1052" t="n"/>
      <c r="AQ74" s="1052" t="n"/>
      <c r="AR74" s="1052" t="n"/>
      <c r="AS74" s="1052" t="n"/>
      <c r="AT74" s="1052" t="n"/>
      <c r="AU74" s="1052" t="n"/>
      <c r="AV74" s="1055" t="n"/>
      <c r="AW74" s="1056" t="n"/>
      <c r="AY74" s="244" t="n"/>
      <c r="BE74" s="246" t="n"/>
      <c r="BF74" s="246" t="n"/>
      <c r="BG74" s="246" t="n"/>
      <c r="BH74" s="246" t="n"/>
      <c r="BI74" s="246" t="n"/>
      <c r="BJ74" s="246" t="n"/>
      <c r="BK74" s="246" t="n"/>
      <c r="BL74" s="246" t="n"/>
      <c r="BM74" s="246" t="n"/>
      <c r="BN74" s="246" t="n"/>
      <c r="BO74" s="246" t="n"/>
      <c r="BP74" s="246" t="n"/>
      <c r="BQ74" s="246" t="n"/>
      <c r="BR74" s="246" t="n"/>
      <c r="BS74" s="246" t="n"/>
      <c r="BT74" s="246" t="n"/>
      <c r="BU74" s="246" t="n"/>
      <c r="BV74" s="246" t="n"/>
      <c r="BW74" s="246" t="n"/>
      <c r="BX74" s="246" t="n"/>
      <c r="BY74" s="246" t="n"/>
      <c r="BZ74" s="246" t="n"/>
      <c r="CA74" s="246" t="n"/>
      <c r="CB74" s="246" t="n"/>
    </row>
    <row r="75" ht="10.5" customHeight="1">
      <c r="B75" s="1061" t="n"/>
      <c r="C75" s="1062" t="n"/>
      <c r="D75" s="1099" t="inlineStr">
        <is>
          <t>交換物件の内容</t>
        </is>
      </c>
      <c r="E75" s="1045" t="n"/>
      <c r="F75" s="1045" t="n"/>
      <c r="G75" s="1045" t="n"/>
      <c r="H75" s="1045" t="n"/>
      <c r="I75" s="1045" t="n"/>
      <c r="J75" s="1045" t="n"/>
      <c r="K75" s="1046" t="n"/>
      <c r="L75" s="560" t="n"/>
      <c r="M75" s="1042" t="n"/>
      <c r="N75" s="1042" t="n"/>
      <c r="O75" s="1042" t="n"/>
      <c r="P75" s="1042" t="n"/>
      <c r="Q75" s="1042" t="n"/>
      <c r="R75" s="1042" t="n"/>
      <c r="S75" s="1042" t="n"/>
      <c r="T75" s="1042" t="n"/>
      <c r="U75" s="1042" t="n"/>
      <c r="V75" s="1042" t="n"/>
      <c r="W75" s="1042" t="n"/>
      <c r="X75" s="1042" t="n"/>
      <c r="Y75" s="1042" t="n"/>
      <c r="Z75" s="1042" t="n"/>
      <c r="AA75" s="1042" t="n"/>
      <c r="AB75" s="1042" t="n"/>
      <c r="AC75" s="1042" t="n"/>
      <c r="AD75" s="1042" t="n"/>
      <c r="AE75" s="1042" t="n"/>
      <c r="AF75" s="1042" t="n"/>
      <c r="AG75" s="1042" t="n"/>
      <c r="AH75" s="1042" t="n"/>
      <c r="AI75" s="1042" t="n"/>
      <c r="AJ75" s="1042" t="n"/>
      <c r="AK75" s="1042" t="n"/>
      <c r="AL75" s="1042" t="n"/>
      <c r="AM75" s="1042" t="n"/>
      <c r="AN75" s="1042" t="n"/>
      <c r="AO75" s="1042" t="n"/>
      <c r="AP75" s="1042" t="n"/>
      <c r="AQ75" s="1042" t="n"/>
      <c r="AR75" s="1042" t="n"/>
      <c r="AS75" s="1042" t="n"/>
      <c r="AT75" s="1042" t="n"/>
      <c r="AU75" s="1042" t="n"/>
      <c r="AV75" s="1042" t="n"/>
      <c r="AW75" s="1043" t="n"/>
      <c r="AY75" s="244" t="n"/>
      <c r="BB75" s="275" t="n"/>
      <c r="BC75" s="276" t="n"/>
      <c r="BD75" s="276" t="n"/>
      <c r="BE75" s="277" t="n"/>
      <c r="BF75" s="277" t="n"/>
      <c r="BG75" s="246" t="n"/>
      <c r="BH75" s="246" t="n"/>
      <c r="BI75" s="246" t="n"/>
      <c r="BJ75" s="246" t="n"/>
      <c r="BK75" s="246" t="n"/>
      <c r="BL75" s="246" t="n"/>
      <c r="BM75" s="246" t="n"/>
      <c r="BN75" s="246" t="n"/>
      <c r="BO75" s="246" t="n"/>
      <c r="BP75" s="246" t="n"/>
      <c r="BQ75" s="246" t="n"/>
      <c r="BR75" s="246" t="n"/>
      <c r="BS75" s="246" t="n"/>
      <c r="BT75" s="246" t="n"/>
      <c r="BU75" s="246" t="n"/>
      <c r="BV75" s="246" t="n"/>
      <c r="BW75" s="246" t="n"/>
    </row>
    <row r="76" ht="10.5" customHeight="1">
      <c r="B76" s="1054" t="n"/>
      <c r="C76" s="1056" t="n"/>
      <c r="D76" s="1055" t="n"/>
      <c r="E76" s="1055" t="n"/>
      <c r="F76" s="1055" t="n"/>
      <c r="G76" s="1055" t="n"/>
      <c r="H76" s="1055" t="n"/>
      <c r="I76" s="1055" t="n"/>
      <c r="J76" s="1055" t="n"/>
      <c r="K76" s="1056" t="n"/>
      <c r="L76" s="1051" t="n"/>
      <c r="M76" s="1052" t="n"/>
      <c r="N76" s="1052" t="n"/>
      <c r="O76" s="1052" t="n"/>
      <c r="P76" s="1052" t="n"/>
      <c r="Q76" s="1052" t="n"/>
      <c r="R76" s="1052" t="n"/>
      <c r="S76" s="1052" t="n"/>
      <c r="T76" s="1052" t="n"/>
      <c r="U76" s="1052" t="n"/>
      <c r="V76" s="1052" t="n"/>
      <c r="W76" s="1052" t="n"/>
      <c r="X76" s="1052" t="n"/>
      <c r="Y76" s="1052" t="n"/>
      <c r="Z76" s="1052" t="n"/>
      <c r="AA76" s="1052" t="n"/>
      <c r="AB76" s="1052" t="n"/>
      <c r="AC76" s="1052" t="n"/>
      <c r="AD76" s="1052" t="n"/>
      <c r="AE76" s="1052" t="n"/>
      <c r="AF76" s="1052" t="n"/>
      <c r="AG76" s="1052" t="n"/>
      <c r="AH76" s="1052" t="n"/>
      <c r="AI76" s="1052" t="n"/>
      <c r="AJ76" s="1052" t="n"/>
      <c r="AK76" s="1052" t="n"/>
      <c r="AL76" s="1052" t="n"/>
      <c r="AM76" s="1052" t="n"/>
      <c r="AN76" s="1052" t="n"/>
      <c r="AO76" s="1052" t="n"/>
      <c r="AP76" s="1052" t="n"/>
      <c r="AQ76" s="1052" t="n"/>
      <c r="AR76" s="1052" t="n"/>
      <c r="AS76" s="1052" t="n"/>
      <c r="AT76" s="1052" t="n"/>
      <c r="AU76" s="1052" t="n"/>
      <c r="AV76" s="1052" t="n"/>
      <c r="AW76" s="1053" t="n"/>
      <c r="AY76" s="244" t="n"/>
    </row>
    <row r="77" ht="10.5" customHeight="1">
      <c r="B77" s="278" t="n"/>
      <c r="C77" s="278" t="n"/>
      <c r="D77" s="652" t="n"/>
      <c r="E77" s="652" t="n"/>
      <c r="F77" s="652" t="n"/>
      <c r="G77" s="652" t="n"/>
      <c r="H77" s="279" t="n"/>
      <c r="I77" s="279" t="n"/>
      <c r="J77" s="279" t="n"/>
      <c r="K77" s="279" t="n"/>
      <c r="L77" s="279" t="n"/>
      <c r="M77" s="279" t="n"/>
      <c r="N77" s="279" t="n"/>
      <c r="O77" s="279" t="n"/>
      <c r="P77" s="279" t="n"/>
      <c r="Q77" s="279" t="n"/>
      <c r="R77" s="279" t="n"/>
      <c r="S77" s="279" t="n"/>
      <c r="T77" s="279" t="n"/>
      <c r="U77" s="279" t="n"/>
      <c r="V77" s="279" t="n"/>
      <c r="W77" s="279" t="n"/>
      <c r="X77" s="279" t="n"/>
      <c r="Y77" s="279" t="n"/>
      <c r="Z77" s="279" t="n"/>
      <c r="AA77" s="279" t="n"/>
      <c r="AB77" s="279" t="n"/>
      <c r="AC77" s="279" t="n"/>
      <c r="AD77" s="279" t="n"/>
      <c r="AE77" s="279" t="n"/>
      <c r="AF77" s="279" t="n"/>
      <c r="AG77" s="279" t="n"/>
      <c r="AH77" s="279" t="n"/>
      <c r="AI77" s="279" t="n"/>
      <c r="AJ77" s="279" t="n"/>
      <c r="AK77" s="279" t="n"/>
      <c r="AL77" s="279" t="n"/>
      <c r="AM77" s="279" t="n"/>
      <c r="AN77" s="279" t="n"/>
      <c r="AO77" s="279" t="n"/>
      <c r="AP77" s="279" t="n"/>
      <c r="AQ77" s="279" t="n"/>
      <c r="AR77" s="279" t="n"/>
      <c r="AS77" s="279" t="n"/>
      <c r="AT77" s="279" t="n"/>
      <c r="AU77" s="279" t="n"/>
      <c r="AV77" s="279" t="n"/>
      <c r="AW77" s="279" t="n"/>
      <c r="AY77" s="244" t="n"/>
    </row>
    <row r="78" ht="10.5" customHeight="1">
      <c r="A78" s="246" t="n"/>
      <c r="B78" s="1112" t="inlineStr">
        <is>
          <t>取引報酬額</t>
        </is>
      </c>
      <c r="C78" s="1046" t="n"/>
      <c r="D78" s="1113" t="inlineStr">
        <is>
          <t>仲介
手数料</t>
        </is>
      </c>
      <c r="E78" s="1045" t="n"/>
      <c r="F78" s="1045" t="n"/>
      <c r="G78" s="1045" t="n"/>
      <c r="H78" s="561" t="inlineStr">
        <is>
          <t>日  付</t>
        </is>
      </c>
      <c r="I78" s="1045" t="n"/>
      <c r="J78" s="1045" t="n"/>
      <c r="K78" s="1046" t="n"/>
      <c r="L78" s="1057" t="n"/>
      <c r="M78" s="1042" t="n"/>
      <c r="N78" s="1042" t="n"/>
      <c r="O78" s="1042" t="n"/>
      <c r="P78" s="1042" t="n"/>
      <c r="Q78" s="1042" t="n"/>
      <c r="R78" s="1042" t="n"/>
      <c r="S78" s="1043" t="n"/>
      <c r="T78" s="561" t="inlineStr">
        <is>
          <t>売主より</t>
        </is>
      </c>
      <c r="U78" s="1045" t="n"/>
      <c r="V78" s="1045" t="n"/>
      <c r="W78" s="1046" t="n"/>
      <c r="X78" s="560" t="n"/>
      <c r="Y78" s="1042" t="n"/>
      <c r="Z78" s="1042" t="n"/>
      <c r="AA78" s="1042" t="n"/>
      <c r="AB78" s="1042" t="n"/>
      <c r="AC78" s="1042" t="n"/>
      <c r="AD78" s="1042" t="n"/>
      <c r="AE78" s="1042" t="n"/>
      <c r="AF78" s="1042" t="n"/>
      <c r="AG78" s="1042" t="n"/>
      <c r="AH78" s="1042" t="n"/>
      <c r="AI78" s="1042" t="n"/>
      <c r="AJ78" s="1042" t="n"/>
      <c r="AK78" s="1042" t="n"/>
      <c r="AL78" s="1042" t="n"/>
      <c r="AM78" s="1042" t="n"/>
      <c r="AN78" s="1042" t="n"/>
      <c r="AO78" s="1042" t="n"/>
      <c r="AP78" s="1042" t="n"/>
      <c r="AQ78" s="1042" t="n"/>
      <c r="AR78" s="1042" t="n"/>
      <c r="AS78" s="1042" t="n"/>
      <c r="AT78" s="1042" t="n"/>
      <c r="AU78" s="1042" t="n"/>
      <c r="AV78" s="1042" t="n"/>
      <c r="AW78" s="1043" t="n"/>
      <c r="AY78" s="244" t="n"/>
      <c r="BR78" s="246" t="n"/>
      <c r="BS78" s="246" t="n"/>
      <c r="BT78" s="246" t="n"/>
      <c r="BU78" s="246" t="n"/>
      <c r="BV78" s="246" t="n"/>
      <c r="BW78" s="246" t="n"/>
      <c r="BX78" s="246" t="n"/>
      <c r="BY78" s="246" t="n"/>
      <c r="BZ78" s="246" t="n"/>
      <c r="CA78" s="246" t="n"/>
      <c r="CB78" s="246" t="n"/>
      <c r="CC78" s="246" t="n"/>
      <c r="CD78" s="246" t="n"/>
      <c r="CE78" s="246" t="n"/>
      <c r="CF78" s="246" t="n"/>
      <c r="CG78" s="246" t="n"/>
      <c r="CH78" s="246" t="n"/>
      <c r="CI78" s="246" t="n"/>
      <c r="CJ78" s="246" t="n"/>
      <c r="CK78" s="246" t="n"/>
      <c r="CL78" s="246" t="n"/>
      <c r="CM78" s="246" t="n"/>
      <c r="CN78" s="246" t="n"/>
      <c r="CO78" s="246" t="n"/>
      <c r="CP78" s="246" t="n"/>
      <c r="CQ78" s="246" t="n"/>
      <c r="CR78" s="246" t="n"/>
      <c r="CS78" s="246" t="n"/>
    </row>
    <row r="79" ht="10.5" customHeight="1">
      <c r="B79" s="1061" t="n"/>
      <c r="C79" s="1062" t="n"/>
      <c r="H79" s="1054" t="n"/>
      <c r="I79" s="1055" t="n"/>
      <c r="J79" s="1055" t="n"/>
      <c r="K79" s="1056" t="n"/>
      <c r="L79" s="1051" t="n"/>
      <c r="M79" s="1052" t="n"/>
      <c r="N79" s="1052" t="n"/>
      <c r="O79" s="1052" t="n"/>
      <c r="P79" s="1052" t="n"/>
      <c r="Q79" s="1052" t="n"/>
      <c r="R79" s="1052" t="n"/>
      <c r="S79" s="1053" t="n"/>
      <c r="T79" s="1054" t="n"/>
      <c r="U79" s="1055" t="n"/>
      <c r="V79" s="1055" t="n"/>
      <c r="W79" s="1056" t="n"/>
      <c r="X79" s="1051" t="n"/>
      <c r="Y79" s="1052" t="n"/>
      <c r="Z79" s="1052" t="n"/>
      <c r="AA79" s="1052" t="n"/>
      <c r="AB79" s="1052" t="n"/>
      <c r="AC79" s="1052" t="n"/>
      <c r="AD79" s="1052" t="n"/>
      <c r="AE79" s="1052" t="n"/>
      <c r="AF79" s="1052" t="n"/>
      <c r="AG79" s="1052" t="n"/>
      <c r="AH79" s="1052" t="n"/>
      <c r="AI79" s="1052" t="n"/>
      <c r="AJ79" s="1052" t="n"/>
      <c r="AK79" s="1052" t="n"/>
      <c r="AL79" s="1052" t="n"/>
      <c r="AM79" s="1052" t="n"/>
      <c r="AN79" s="1052" t="n"/>
      <c r="AO79" s="1052" t="n"/>
      <c r="AP79" s="1052" t="n"/>
      <c r="AQ79" s="1052" t="n"/>
      <c r="AR79" s="1052" t="n"/>
      <c r="AS79" s="1052" t="n"/>
      <c r="AT79" s="1052" t="n"/>
      <c r="AU79" s="1052" t="n"/>
      <c r="AV79" s="1052" t="n"/>
      <c r="AW79" s="1053" t="n"/>
      <c r="AY79" s="244" t="n"/>
      <c r="BR79" s="246" t="n"/>
      <c r="BS79" s="246" t="n"/>
      <c r="BT79" s="246" t="n"/>
      <c r="BU79" s="246" t="n"/>
      <c r="BV79" s="246" t="n"/>
      <c r="BW79" s="246" t="n"/>
      <c r="BX79" s="246" t="n"/>
      <c r="BY79" s="246" t="n"/>
      <c r="BZ79" s="246" t="n"/>
      <c r="CA79" s="246" t="n"/>
      <c r="CB79" s="246" t="n"/>
      <c r="CC79" s="246" t="n"/>
      <c r="CD79" s="246" t="n"/>
      <c r="CE79" s="246" t="n"/>
      <c r="CF79" s="246" t="n"/>
      <c r="CG79" s="246" t="n"/>
      <c r="CH79" s="246" t="n"/>
      <c r="CI79" s="246" t="n"/>
      <c r="CJ79" s="246" t="n"/>
      <c r="CK79" s="246" t="n"/>
      <c r="CL79" s="246" t="n"/>
      <c r="CM79" s="246" t="n"/>
      <c r="CN79" s="246" t="n"/>
      <c r="CO79" s="246" t="n"/>
      <c r="CP79" s="246" t="n"/>
      <c r="CQ79" s="246" t="n"/>
      <c r="CR79" s="246" t="n"/>
      <c r="CS79" s="246" t="n"/>
    </row>
    <row r="80" ht="10.5" customHeight="1">
      <c r="B80" s="1061" t="n"/>
      <c r="C80" s="1062" t="n"/>
      <c r="H80" s="561" t="inlineStr">
        <is>
          <t>金  額</t>
        </is>
      </c>
      <c r="I80" s="1045" t="n"/>
      <c r="J80" s="1045" t="n"/>
      <c r="K80" s="1046" t="n"/>
      <c r="L80" s="1114" t="n"/>
      <c r="M80" s="1042" t="n"/>
      <c r="N80" s="1042" t="n"/>
      <c r="O80" s="1042" t="n"/>
      <c r="P80" s="1042" t="n"/>
      <c r="Q80" s="1042" t="n"/>
      <c r="R80" s="580" t="inlineStr">
        <is>
          <t>円</t>
        </is>
      </c>
      <c r="S80" s="1040" t="n"/>
      <c r="T80" s="1115" t="inlineStr">
        <is>
          <t>(税率)</t>
        </is>
      </c>
      <c r="U80" s="1045" t="n"/>
      <c r="V80" s="1045" t="n"/>
      <c r="W80" s="1116" t="n"/>
      <c r="X80" s="1042" t="n"/>
      <c r="Y80" s="1117" t="inlineStr">
        <is>
          <t>％</t>
        </is>
      </c>
      <c r="Z80" s="1046" t="n"/>
      <c r="AA80" s="561" t="inlineStr">
        <is>
          <t>消費税</t>
        </is>
      </c>
      <c r="AB80" s="1045" t="n"/>
      <c r="AC80" s="1045" t="n"/>
      <c r="AD80" s="1046" t="n"/>
      <c r="AE80" s="1114">
        <f>L80*W80*0.01</f>
        <v/>
      </c>
      <c r="AF80" s="1042" t="n"/>
      <c r="AG80" s="1042" t="n"/>
      <c r="AH80" s="1042" t="n"/>
      <c r="AI80" s="1042" t="n"/>
      <c r="AJ80" s="580" t="inlineStr">
        <is>
          <t>円</t>
        </is>
      </c>
      <c r="AK80" s="1040" t="n"/>
      <c r="AL80" s="561" t="inlineStr">
        <is>
          <t>合  計</t>
        </is>
      </c>
      <c r="AM80" s="1045" t="n"/>
      <c r="AN80" s="1045" t="n"/>
      <c r="AO80" s="1046" t="n"/>
      <c r="AP80" s="1114">
        <f>L80+AE80</f>
        <v/>
      </c>
      <c r="AQ80" s="1042" t="n"/>
      <c r="AR80" s="1042" t="n"/>
      <c r="AS80" s="1042" t="n"/>
      <c r="AT80" s="1042" t="n"/>
      <c r="AU80" s="1042" t="n"/>
      <c r="AV80" s="580" t="inlineStr">
        <is>
          <t>円</t>
        </is>
      </c>
      <c r="AW80" s="1040" t="n"/>
      <c r="AY80" s="244" t="n"/>
      <c r="BR80" s="246" t="n"/>
      <c r="BS80" s="246" t="n"/>
      <c r="BT80" s="246" t="n"/>
      <c r="BU80" s="246" t="n"/>
      <c r="BV80" s="246" t="n"/>
      <c r="BW80" s="246" t="n"/>
      <c r="BX80" s="246" t="n"/>
      <c r="BY80" s="246" t="n"/>
      <c r="BZ80" s="246" t="n"/>
      <c r="CA80" s="246" t="n"/>
      <c r="CB80" s="246" t="n"/>
      <c r="CC80" s="246" t="n"/>
      <c r="CD80" s="246" t="n"/>
      <c r="CE80" s="246" t="n"/>
      <c r="CF80" s="246" t="n"/>
      <c r="CG80" s="246" t="n"/>
      <c r="CH80" s="246" t="n"/>
      <c r="CI80" s="246" t="n"/>
      <c r="CJ80" s="246" t="n"/>
      <c r="CK80" s="246" t="n"/>
      <c r="CL80" s="246" t="n"/>
      <c r="CM80" s="246" t="n"/>
      <c r="CN80" s="246" t="n"/>
      <c r="CO80" s="246" t="n"/>
      <c r="CP80" s="246" t="n"/>
      <c r="CQ80" s="246" t="n"/>
      <c r="CR80" s="246" t="n"/>
      <c r="CS80" s="246" t="n"/>
    </row>
    <row r="81" ht="10.5" customHeight="1">
      <c r="B81" s="1061" t="n"/>
      <c r="C81" s="1062" t="n"/>
      <c r="H81" s="1054" t="n"/>
      <c r="I81" s="1055" t="n"/>
      <c r="J81" s="1055" t="n"/>
      <c r="K81" s="1056" t="n"/>
      <c r="L81" s="1051" t="n"/>
      <c r="M81" s="1052" t="n"/>
      <c r="N81" s="1052" t="n"/>
      <c r="O81" s="1052" t="n"/>
      <c r="P81" s="1052" t="n"/>
      <c r="Q81" s="1052" t="n"/>
      <c r="R81" s="1049" t="n"/>
      <c r="S81" s="1050" t="n"/>
      <c r="T81" s="1054" t="n"/>
      <c r="U81" s="1055" t="n"/>
      <c r="V81" s="1055" t="n"/>
      <c r="W81" s="1052" t="n"/>
      <c r="X81" s="1052" t="n"/>
      <c r="Y81" s="1055" t="n"/>
      <c r="Z81" s="1056" t="n"/>
      <c r="AA81" s="1054" t="n"/>
      <c r="AB81" s="1055" t="n"/>
      <c r="AC81" s="1055" t="n"/>
      <c r="AD81" s="1056" t="n"/>
      <c r="AE81" s="1051" t="n"/>
      <c r="AF81" s="1052" t="n"/>
      <c r="AG81" s="1052" t="n"/>
      <c r="AH81" s="1052" t="n"/>
      <c r="AI81" s="1052" t="n"/>
      <c r="AJ81" s="1049" t="n"/>
      <c r="AK81" s="1050" t="n"/>
      <c r="AL81" s="1054" t="n"/>
      <c r="AM81" s="1055" t="n"/>
      <c r="AN81" s="1055" t="n"/>
      <c r="AO81" s="1056" t="n"/>
      <c r="AP81" s="1051" t="n"/>
      <c r="AQ81" s="1052" t="n"/>
      <c r="AR81" s="1052" t="n"/>
      <c r="AS81" s="1052" t="n"/>
      <c r="AT81" s="1052" t="n"/>
      <c r="AU81" s="1052" t="n"/>
      <c r="AV81" s="1049" t="n"/>
      <c r="AW81" s="1050" t="n"/>
      <c r="AY81" s="244" t="n"/>
      <c r="BR81" s="246" t="n"/>
      <c r="BS81" s="246" t="n"/>
      <c r="BT81" s="246" t="n"/>
      <c r="BU81" s="246" t="n"/>
      <c r="BV81" s="246" t="n"/>
      <c r="BW81" s="246" t="n"/>
      <c r="BX81" s="246" t="n"/>
      <c r="BY81" s="246" t="n"/>
      <c r="BZ81" s="246" t="n"/>
      <c r="CA81" s="246" t="n"/>
      <c r="CB81" s="246" t="n"/>
      <c r="CC81" s="246" t="n"/>
      <c r="CD81" s="246" t="n"/>
      <c r="CE81" s="246" t="n"/>
      <c r="CF81" s="246" t="n"/>
      <c r="CG81" s="246" t="n"/>
      <c r="CH81" s="246" t="n"/>
      <c r="CI81" s="246" t="n"/>
      <c r="CJ81" s="246" t="n"/>
      <c r="CK81" s="246" t="n"/>
      <c r="CL81" s="246" t="n"/>
      <c r="CM81" s="246" t="n"/>
      <c r="CN81" s="246" t="n"/>
      <c r="CO81" s="246" t="n"/>
      <c r="CP81" s="246" t="n"/>
      <c r="CQ81" s="246" t="n"/>
      <c r="CR81" s="246" t="n"/>
      <c r="CS81" s="246" t="n"/>
    </row>
    <row r="82" ht="10.5" customHeight="1">
      <c r="B82" s="1061" t="n"/>
      <c r="C82" s="1062" t="n"/>
      <c r="H82" s="561" t="inlineStr">
        <is>
          <t>日  付</t>
        </is>
      </c>
      <c r="I82" s="1045" t="n"/>
      <c r="J82" s="1045" t="n"/>
      <c r="K82" s="1046" t="n"/>
      <c r="L82" s="1057" t="n"/>
      <c r="M82" s="1042" t="n"/>
      <c r="N82" s="1042" t="n"/>
      <c r="O82" s="1042" t="n"/>
      <c r="P82" s="1042" t="n"/>
      <c r="Q82" s="1042" t="n"/>
      <c r="R82" s="1042" t="n"/>
      <c r="S82" s="1043" t="n"/>
      <c r="T82" s="561" t="inlineStr">
        <is>
          <t>買主より</t>
        </is>
      </c>
      <c r="U82" s="1045" t="n"/>
      <c r="V82" s="1045" t="n"/>
      <c r="W82" s="1046" t="n"/>
      <c r="X82" s="560" t="n"/>
      <c r="Y82" s="1042" t="n"/>
      <c r="Z82" s="1042" t="n"/>
      <c r="AA82" s="1042" t="n"/>
      <c r="AB82" s="1042" t="n"/>
      <c r="AC82" s="1042" t="n"/>
      <c r="AD82" s="1042" t="n"/>
      <c r="AE82" s="1042" t="n"/>
      <c r="AF82" s="1042" t="n"/>
      <c r="AG82" s="1042" t="n"/>
      <c r="AH82" s="1042" t="n"/>
      <c r="AI82" s="1042" t="n"/>
      <c r="AJ82" s="1042" t="n"/>
      <c r="AK82" s="1042" t="n"/>
      <c r="AL82" s="1042" t="n"/>
      <c r="AM82" s="1042" t="n"/>
      <c r="AN82" s="1042" t="n"/>
      <c r="AO82" s="1042" t="n"/>
      <c r="AP82" s="1042" t="n"/>
      <c r="AQ82" s="1042" t="n"/>
      <c r="AR82" s="1042" t="n"/>
      <c r="AS82" s="1042" t="n"/>
      <c r="AT82" s="1042" t="n"/>
      <c r="AU82" s="1042" t="n"/>
      <c r="AV82" s="1042" t="n"/>
      <c r="AW82" s="1043" t="n"/>
      <c r="AY82" s="244" t="n"/>
      <c r="BR82" s="246" t="n"/>
      <c r="BS82" s="246" t="n"/>
      <c r="BT82" s="246" t="n"/>
      <c r="BU82" s="246" t="n"/>
      <c r="BV82" s="246" t="n"/>
      <c r="BW82" s="246" t="n"/>
      <c r="BX82" s="246" t="n"/>
      <c r="BY82" s="246" t="n"/>
      <c r="BZ82" s="246" t="n"/>
      <c r="CA82" s="246" t="n"/>
      <c r="CB82" s="246" t="n"/>
      <c r="CC82" s="246" t="n"/>
      <c r="CD82" s="246" t="n"/>
      <c r="CE82" s="246" t="n"/>
      <c r="CF82" s="246" t="n"/>
      <c r="CG82" s="246" t="n"/>
      <c r="CH82" s="246" t="n"/>
      <c r="CI82" s="246" t="n"/>
      <c r="CJ82" s="246" t="n"/>
      <c r="CK82" s="246" t="n"/>
      <c r="CL82" s="246" t="n"/>
      <c r="CM82" s="246" t="n"/>
      <c r="CN82" s="246" t="n"/>
      <c r="CO82" s="246" t="n"/>
      <c r="CP82" s="246" t="n"/>
      <c r="CQ82" s="246" t="n"/>
      <c r="CR82" s="246" t="n"/>
      <c r="CS82" s="246" t="n"/>
      <c r="CT82" s="246" t="n"/>
    </row>
    <row r="83" ht="10.5" customHeight="1">
      <c r="B83" s="1061" t="n"/>
      <c r="C83" s="1062" t="n"/>
      <c r="H83" s="1054" t="n"/>
      <c r="I83" s="1055" t="n"/>
      <c r="J83" s="1055" t="n"/>
      <c r="K83" s="1056" t="n"/>
      <c r="L83" s="1051" t="n"/>
      <c r="M83" s="1052" t="n"/>
      <c r="N83" s="1052" t="n"/>
      <c r="O83" s="1052" t="n"/>
      <c r="P83" s="1052" t="n"/>
      <c r="Q83" s="1052" t="n"/>
      <c r="R83" s="1052" t="n"/>
      <c r="S83" s="1053" t="n"/>
      <c r="T83" s="1054" t="n"/>
      <c r="U83" s="1055" t="n"/>
      <c r="V83" s="1055" t="n"/>
      <c r="W83" s="1056" t="n"/>
      <c r="X83" s="1051" t="n"/>
      <c r="Y83" s="1052" t="n"/>
      <c r="Z83" s="1052" t="n"/>
      <c r="AA83" s="1052" t="n"/>
      <c r="AB83" s="1052" t="n"/>
      <c r="AC83" s="1052" t="n"/>
      <c r="AD83" s="1052" t="n"/>
      <c r="AE83" s="1052" t="n"/>
      <c r="AF83" s="1052" t="n"/>
      <c r="AG83" s="1052" t="n"/>
      <c r="AH83" s="1052" t="n"/>
      <c r="AI83" s="1052" t="n"/>
      <c r="AJ83" s="1052" t="n"/>
      <c r="AK83" s="1052" t="n"/>
      <c r="AL83" s="1052" t="n"/>
      <c r="AM83" s="1052" t="n"/>
      <c r="AN83" s="1052" t="n"/>
      <c r="AO83" s="1052" t="n"/>
      <c r="AP83" s="1052" t="n"/>
      <c r="AQ83" s="1052" t="n"/>
      <c r="AR83" s="1052" t="n"/>
      <c r="AS83" s="1052" t="n"/>
      <c r="AT83" s="1052" t="n"/>
      <c r="AU83" s="1052" t="n"/>
      <c r="AV83" s="1052" t="n"/>
      <c r="AW83" s="1053" t="n"/>
      <c r="AY83" s="244" t="n"/>
      <c r="BR83" s="246" t="n"/>
      <c r="BS83" s="246" t="n"/>
      <c r="BT83" s="246" t="n"/>
      <c r="BU83" s="246" t="n"/>
      <c r="BV83" s="246" t="n"/>
      <c r="BW83" s="246" t="n"/>
      <c r="BX83" s="246" t="n"/>
      <c r="BY83" s="246" t="n"/>
      <c r="BZ83" s="246" t="n"/>
      <c r="CA83" s="246" t="n"/>
      <c r="CB83" s="246" t="n"/>
      <c r="CC83" s="246" t="n"/>
      <c r="CD83" s="246" t="n"/>
      <c r="CE83" s="246" t="n"/>
      <c r="CF83" s="246" t="n"/>
      <c r="CG83" s="246" t="n"/>
      <c r="CH83" s="246" t="n"/>
      <c r="CI83" s="246" t="n"/>
      <c r="CJ83" s="246" t="n"/>
      <c r="CK83" s="246" t="n"/>
      <c r="CL83" s="246" t="n"/>
      <c r="CM83" s="246" t="n"/>
      <c r="CN83" s="246" t="n"/>
      <c r="CO83" s="246" t="n"/>
      <c r="CP83" s="246" t="n"/>
      <c r="CQ83" s="246" t="n"/>
      <c r="CR83" s="246" t="n"/>
      <c r="CS83" s="246" t="n"/>
      <c r="CT83" s="246" t="n"/>
    </row>
    <row r="84" ht="10.5" customHeight="1">
      <c r="B84" s="1061" t="n"/>
      <c r="C84" s="1062" t="n"/>
      <c r="H84" s="561" t="inlineStr">
        <is>
          <t>金  額</t>
        </is>
      </c>
      <c r="I84" s="1045" t="n"/>
      <c r="J84" s="1045" t="n"/>
      <c r="K84" s="1046" t="n"/>
      <c r="L84" s="1114" t="n"/>
      <c r="M84" s="1042" t="n"/>
      <c r="N84" s="1042" t="n"/>
      <c r="O84" s="1042" t="n"/>
      <c r="P84" s="1042" t="n"/>
      <c r="Q84" s="1042" t="n"/>
      <c r="R84" s="580" t="inlineStr">
        <is>
          <t>円</t>
        </is>
      </c>
      <c r="S84" s="1040" t="n"/>
      <c r="T84" s="1115" t="inlineStr">
        <is>
          <t>(税率)</t>
        </is>
      </c>
      <c r="U84" s="1045" t="n"/>
      <c r="V84" s="1045" t="n"/>
      <c r="W84" s="1116" t="n"/>
      <c r="X84" s="1042" t="n"/>
      <c r="Y84" s="1117" t="inlineStr">
        <is>
          <t>％</t>
        </is>
      </c>
      <c r="Z84" s="1046" t="n"/>
      <c r="AA84" s="561" t="inlineStr">
        <is>
          <t>消費税</t>
        </is>
      </c>
      <c r="AB84" s="1045" t="n"/>
      <c r="AC84" s="1045" t="n"/>
      <c r="AD84" s="1046" t="n"/>
      <c r="AE84" s="1114">
        <f>L84*W84*0.01</f>
        <v/>
      </c>
      <c r="AF84" s="1042" t="n"/>
      <c r="AG84" s="1042" t="n"/>
      <c r="AH84" s="1042" t="n"/>
      <c r="AI84" s="1042" t="n"/>
      <c r="AJ84" s="580" t="inlineStr">
        <is>
          <t>円</t>
        </is>
      </c>
      <c r="AK84" s="1040" t="n"/>
      <c r="AL84" s="561" t="inlineStr">
        <is>
          <t>合  計</t>
        </is>
      </c>
      <c r="AM84" s="1045" t="n"/>
      <c r="AN84" s="1045" t="n"/>
      <c r="AO84" s="1046" t="n"/>
      <c r="AP84" s="1114">
        <f>L84+AE84</f>
        <v/>
      </c>
      <c r="AQ84" s="1042" t="n"/>
      <c r="AR84" s="1042" t="n"/>
      <c r="AS84" s="1042" t="n"/>
      <c r="AT84" s="1042" t="n"/>
      <c r="AU84" s="1042" t="n"/>
      <c r="AV84" s="580" t="inlineStr">
        <is>
          <t>円</t>
        </is>
      </c>
      <c r="AW84" s="1040" t="n"/>
      <c r="AY84" s="244" t="n"/>
      <c r="BR84" s="246" t="n"/>
      <c r="BS84" s="246" t="n"/>
      <c r="BT84" s="246" t="n"/>
      <c r="BU84" s="246" t="n"/>
      <c r="BV84" s="246" t="n"/>
      <c r="BW84" s="246" t="n"/>
      <c r="BX84" s="246" t="n"/>
      <c r="BY84" s="246" t="n"/>
      <c r="BZ84" s="246" t="n"/>
      <c r="CA84" s="246" t="n"/>
      <c r="CB84" s="246" t="n"/>
      <c r="CC84" s="246" t="n"/>
      <c r="CD84" s="246" t="n"/>
      <c r="CE84" s="246" t="n"/>
      <c r="CF84" s="246" t="n"/>
      <c r="CG84" s="246" t="n"/>
      <c r="CH84" s="246" t="n"/>
      <c r="CI84" s="246" t="n"/>
      <c r="CJ84" s="246" t="n"/>
      <c r="CK84" s="246" t="n"/>
      <c r="CL84" s="246" t="n"/>
      <c r="CM84" s="246" t="n"/>
      <c r="CN84" s="246" t="n"/>
      <c r="CO84" s="246" t="n"/>
      <c r="CP84" s="246" t="n"/>
      <c r="CQ84" s="246" t="n"/>
      <c r="CR84" s="246" t="n"/>
      <c r="CS84" s="246" t="n"/>
      <c r="CT84" s="246" t="n"/>
    </row>
    <row r="85" ht="10.5" customHeight="1">
      <c r="B85" s="1061" t="n"/>
      <c r="C85" s="1062" t="n"/>
      <c r="H85" s="1054" t="n"/>
      <c r="I85" s="1055" t="n"/>
      <c r="J85" s="1055" t="n"/>
      <c r="K85" s="1056" t="n"/>
      <c r="L85" s="1051" t="n"/>
      <c r="M85" s="1052" t="n"/>
      <c r="N85" s="1052" t="n"/>
      <c r="O85" s="1052" t="n"/>
      <c r="P85" s="1052" t="n"/>
      <c r="Q85" s="1052" t="n"/>
      <c r="R85" s="1049" t="n"/>
      <c r="S85" s="1050" t="n"/>
      <c r="T85" s="1054" t="n"/>
      <c r="U85" s="1055" t="n"/>
      <c r="V85" s="1055" t="n"/>
      <c r="W85" s="1052" t="n"/>
      <c r="X85" s="1052" t="n"/>
      <c r="Y85" s="1055" t="n"/>
      <c r="Z85" s="1056" t="n"/>
      <c r="AA85" s="1054" t="n"/>
      <c r="AB85" s="1055" t="n"/>
      <c r="AC85" s="1055" t="n"/>
      <c r="AD85" s="1056" t="n"/>
      <c r="AE85" s="1051" t="n"/>
      <c r="AF85" s="1052" t="n"/>
      <c r="AG85" s="1052" t="n"/>
      <c r="AH85" s="1052" t="n"/>
      <c r="AI85" s="1052" t="n"/>
      <c r="AJ85" s="1049" t="n"/>
      <c r="AK85" s="1050" t="n"/>
      <c r="AL85" s="1054" t="n"/>
      <c r="AM85" s="1055" t="n"/>
      <c r="AN85" s="1055" t="n"/>
      <c r="AO85" s="1056" t="n"/>
      <c r="AP85" s="1051" t="n"/>
      <c r="AQ85" s="1052" t="n"/>
      <c r="AR85" s="1052" t="n"/>
      <c r="AS85" s="1052" t="n"/>
      <c r="AT85" s="1052" t="n"/>
      <c r="AU85" s="1052" t="n"/>
      <c r="AV85" s="1049" t="n"/>
      <c r="AW85" s="1050" t="n"/>
      <c r="AY85" s="244" t="n"/>
      <c r="BR85" s="246" t="n"/>
      <c r="BS85" s="246" t="n"/>
      <c r="BT85" s="246" t="n"/>
      <c r="BU85" s="246" t="n"/>
      <c r="BV85" s="246" t="n"/>
      <c r="BW85" s="246" t="n"/>
      <c r="BX85" s="246" t="n"/>
      <c r="BY85" s="246" t="n"/>
      <c r="BZ85" s="246" t="n"/>
      <c r="CA85" s="246" t="n"/>
      <c r="CB85" s="246" t="n"/>
      <c r="CC85" s="246" t="n"/>
      <c r="CD85" s="246" t="n"/>
      <c r="CE85" s="246" t="n"/>
      <c r="CF85" s="246" t="n"/>
      <c r="CG85" s="246" t="n"/>
      <c r="CH85" s="246" t="n"/>
      <c r="CI85" s="246" t="n"/>
      <c r="CJ85" s="246" t="n"/>
      <c r="CK85" s="246" t="n"/>
      <c r="CL85" s="246" t="n"/>
      <c r="CM85" s="246" t="n"/>
      <c r="CN85" s="246" t="n"/>
      <c r="CO85" s="246" t="n"/>
      <c r="CP85" s="246" t="n"/>
      <c r="CQ85" s="246" t="n"/>
      <c r="CR85" s="246" t="n"/>
      <c r="CS85" s="246" t="n"/>
      <c r="CT85" s="246" t="n"/>
    </row>
    <row r="86" ht="10.5" customHeight="1">
      <c r="B86" s="1061" t="n"/>
      <c r="C86" s="1062" t="n"/>
      <c r="H86" s="561" t="inlineStr">
        <is>
          <t>収入合計</t>
        </is>
      </c>
      <c r="I86" s="1045" t="n"/>
      <c r="J86" s="1045" t="n"/>
      <c r="K86" s="1046" t="n"/>
      <c r="L86" s="1114">
        <f>AP80+AP84</f>
        <v/>
      </c>
      <c r="M86" s="1042" t="n"/>
      <c r="N86" s="1042" t="n"/>
      <c r="O86" s="1042" t="n"/>
      <c r="P86" s="1042" t="n"/>
      <c r="Q86" s="1042" t="n"/>
      <c r="R86" s="1042" t="n"/>
      <c r="S86" s="1042" t="n"/>
      <c r="T86" s="580" t="inlineStr">
        <is>
          <t>円</t>
        </is>
      </c>
      <c r="U86" s="1040" t="n"/>
      <c r="V86" s="1118" t="inlineStr">
        <is>
          <t>（内訳）</t>
        </is>
      </c>
      <c r="W86" s="1045" t="n"/>
      <c r="X86" s="1045" t="n"/>
      <c r="Y86" s="1045" t="n"/>
      <c r="Z86" s="596" t="inlineStr">
        <is>
          <t>税抜合計</t>
        </is>
      </c>
      <c r="AA86" s="1045" t="n"/>
      <c r="AB86" s="1045" t="n"/>
      <c r="AC86" s="1046" t="n"/>
      <c r="AD86" s="1114">
        <f>L80+L84</f>
        <v/>
      </c>
      <c r="AE86" s="1042" t="n"/>
      <c r="AF86" s="1042" t="n"/>
      <c r="AG86" s="1042" t="n"/>
      <c r="AH86" s="1042" t="n"/>
      <c r="AI86" s="1042" t="n"/>
      <c r="AJ86" s="580" t="inlineStr">
        <is>
          <t>円</t>
        </is>
      </c>
      <c r="AK86" s="1040" t="n"/>
      <c r="AL86" s="561" t="inlineStr">
        <is>
          <t>消費税合計</t>
        </is>
      </c>
      <c r="AM86" s="1045" t="n"/>
      <c r="AN86" s="1045" t="n"/>
      <c r="AO86" s="1046" t="n"/>
      <c r="AP86" s="1114">
        <f>AE80+AE84</f>
        <v/>
      </c>
      <c r="AQ86" s="1042" t="n"/>
      <c r="AR86" s="1042" t="n"/>
      <c r="AS86" s="1042" t="n"/>
      <c r="AT86" s="1042" t="n"/>
      <c r="AU86" s="1042" t="n"/>
      <c r="AV86" s="580" t="inlineStr">
        <is>
          <t>円</t>
        </is>
      </c>
      <c r="AW86" s="1040" t="n"/>
      <c r="AY86" s="244" t="n"/>
      <c r="BR86" s="246" t="n"/>
      <c r="BS86" s="246" t="n"/>
      <c r="BT86" s="246" t="n"/>
      <c r="BU86" s="246" t="n"/>
      <c r="BV86" s="246" t="n"/>
      <c r="BW86" s="246" t="n"/>
      <c r="BX86" s="246" t="n"/>
      <c r="BY86" s="246" t="n"/>
      <c r="BZ86" s="246" t="n"/>
      <c r="CA86" s="246" t="n"/>
      <c r="CB86" s="246" t="n"/>
      <c r="CC86" s="246" t="n"/>
      <c r="CD86" s="246" t="n"/>
      <c r="CE86" s="246" t="n"/>
      <c r="CF86" s="246" t="n"/>
      <c r="CG86" s="246" t="n"/>
      <c r="CH86" s="246" t="n"/>
      <c r="CI86" s="246" t="n"/>
      <c r="CJ86" s="246" t="n"/>
      <c r="CK86" s="246" t="n"/>
      <c r="CL86" s="246" t="n"/>
      <c r="CM86" s="246" t="n"/>
      <c r="CN86" s="246" t="n"/>
      <c r="CO86" s="246" t="n"/>
      <c r="CP86" s="246" t="n"/>
      <c r="CQ86" s="246" t="n"/>
      <c r="CR86" s="246" t="n"/>
      <c r="CS86" s="246" t="n"/>
      <c r="CT86" s="246" t="n"/>
    </row>
    <row r="87" ht="10.5" customHeight="1">
      <c r="B87" s="1061" t="n"/>
      <c r="C87" s="1062" t="n"/>
      <c r="D87" s="1055" t="n"/>
      <c r="E87" s="1055" t="n"/>
      <c r="F87" s="1055" t="n"/>
      <c r="G87" s="1055" t="n"/>
      <c r="H87" s="1054" t="n"/>
      <c r="I87" s="1055" t="n"/>
      <c r="J87" s="1055" t="n"/>
      <c r="K87" s="1056" t="n"/>
      <c r="L87" s="1051" t="n"/>
      <c r="M87" s="1052" t="n"/>
      <c r="N87" s="1052" t="n"/>
      <c r="O87" s="1052" t="n"/>
      <c r="P87" s="1052" t="n"/>
      <c r="Q87" s="1052" t="n"/>
      <c r="R87" s="1052" t="n"/>
      <c r="S87" s="1052" t="n"/>
      <c r="T87" s="1049" t="n"/>
      <c r="U87" s="1050" t="n"/>
      <c r="V87" s="1054" t="n"/>
      <c r="W87" s="1055" t="n"/>
      <c r="X87" s="1055" t="n"/>
      <c r="Y87" s="1055" t="n"/>
      <c r="Z87" s="1055" t="n"/>
      <c r="AA87" s="1055" t="n"/>
      <c r="AB87" s="1055" t="n"/>
      <c r="AC87" s="1056" t="n"/>
      <c r="AD87" s="1051" t="n"/>
      <c r="AE87" s="1052" t="n"/>
      <c r="AF87" s="1052" t="n"/>
      <c r="AG87" s="1052" t="n"/>
      <c r="AH87" s="1052" t="n"/>
      <c r="AI87" s="1052" t="n"/>
      <c r="AJ87" s="1049" t="n"/>
      <c r="AK87" s="1050" t="n"/>
      <c r="AL87" s="1054" t="n"/>
      <c r="AM87" s="1055" t="n"/>
      <c r="AN87" s="1055" t="n"/>
      <c r="AO87" s="1056" t="n"/>
      <c r="AP87" s="1051" t="n"/>
      <c r="AQ87" s="1052" t="n"/>
      <c r="AR87" s="1052" t="n"/>
      <c r="AS87" s="1052" t="n"/>
      <c r="AT87" s="1052" t="n"/>
      <c r="AU87" s="1052" t="n"/>
      <c r="AV87" s="1049" t="n"/>
      <c r="AW87" s="1050" t="n"/>
      <c r="AY87" s="244" t="n"/>
      <c r="BR87" s="246" t="n"/>
      <c r="BS87" s="246" t="n"/>
      <c r="BT87" s="246" t="n"/>
      <c r="BU87" s="246" t="n"/>
      <c r="BV87" s="246" t="n"/>
      <c r="BW87" s="246" t="n"/>
      <c r="BX87" s="246" t="n"/>
      <c r="BY87" s="246" t="n"/>
      <c r="BZ87" s="246" t="n"/>
      <c r="CA87" s="246" t="n"/>
      <c r="CB87" s="246" t="n"/>
      <c r="CC87" s="246" t="n"/>
      <c r="CD87" s="246" t="n"/>
      <c r="CE87" s="246" t="n"/>
      <c r="CF87" s="246" t="n"/>
      <c r="CG87" s="246" t="n"/>
      <c r="CH87" s="246" t="n"/>
      <c r="CI87" s="246" t="n"/>
      <c r="CJ87" s="246" t="n"/>
      <c r="CK87" s="246" t="n"/>
      <c r="CL87" s="246" t="n"/>
      <c r="CM87" s="246" t="n"/>
      <c r="CN87" s="246" t="n"/>
      <c r="CO87" s="246" t="n"/>
      <c r="CP87" s="246" t="n"/>
      <c r="CQ87" s="246" t="n"/>
      <c r="CR87" s="246" t="n"/>
      <c r="CS87" s="246" t="n"/>
      <c r="CT87" s="246" t="n"/>
    </row>
    <row r="88" ht="10.5" customHeight="1">
      <c r="B88" s="1061" t="n"/>
      <c r="C88" s="1062" t="n"/>
      <c r="D88" s="1119" t="inlineStr">
        <is>
          <t>支払
手数料</t>
        </is>
      </c>
      <c r="E88" s="1045" t="n"/>
      <c r="F88" s="1045" t="n"/>
      <c r="G88" s="1046" t="n"/>
      <c r="H88" s="561" t="inlineStr">
        <is>
          <t>日  付</t>
        </is>
      </c>
      <c r="I88" s="1045" t="n"/>
      <c r="J88" s="1045" t="n"/>
      <c r="K88" s="1046" t="n"/>
      <c r="L88" s="1057">
        <f>'②（土地・建物）事業収支シート'!K6</f>
        <v/>
      </c>
      <c r="M88" s="1042" t="n"/>
      <c r="N88" s="1042" t="n"/>
      <c r="O88" s="1042" t="n"/>
      <c r="P88" s="1042" t="n"/>
      <c r="Q88" s="1042" t="n"/>
      <c r="R88" s="1042" t="n"/>
      <c r="S88" s="1043" t="n"/>
      <c r="T88" s="561" t="inlineStr">
        <is>
          <t>支払先</t>
        </is>
      </c>
      <c r="U88" s="1045" t="n"/>
      <c r="V88" s="1045" t="n"/>
      <c r="W88" s="1046" t="n"/>
      <c r="X88" s="560" t="n"/>
      <c r="Y88" s="1042" t="n"/>
      <c r="Z88" s="1042" t="n"/>
      <c r="AA88" s="1042" t="n"/>
      <c r="AB88" s="1042" t="n"/>
      <c r="AC88" s="1042" t="n"/>
      <c r="AD88" s="1042" t="n"/>
      <c r="AE88" s="1042" t="n"/>
      <c r="AF88" s="1042" t="n"/>
      <c r="AG88" s="1042" t="n"/>
      <c r="AH88" s="1042" t="n"/>
      <c r="AI88" s="1042" t="n"/>
      <c r="AJ88" s="1042" t="n"/>
      <c r="AK88" s="1042" t="n"/>
      <c r="AL88" s="1042" t="n"/>
      <c r="AM88" s="1042" t="n"/>
      <c r="AN88" s="1042" t="n"/>
      <c r="AO88" s="1042" t="n"/>
      <c r="AP88" s="1042" t="n"/>
      <c r="AQ88" s="1042" t="n"/>
      <c r="AR88" s="1042" t="n"/>
      <c r="AS88" s="1042" t="n"/>
      <c r="AT88" s="1042" t="n"/>
      <c r="AU88" s="1042" t="n"/>
      <c r="AV88" s="1042" t="n"/>
      <c r="AW88" s="1043" t="n"/>
      <c r="AX88" s="246" t="n"/>
      <c r="AY88" s="246" t="n"/>
      <c r="BK88" s="246" t="n"/>
      <c r="BL88" s="246" t="n"/>
      <c r="BM88" s="246" t="n"/>
      <c r="BN88" s="246" t="n"/>
      <c r="BO88" s="246" t="n"/>
      <c r="BP88" s="246" t="n"/>
      <c r="BQ88" s="246" t="n"/>
      <c r="BR88" s="246" t="n"/>
      <c r="BS88" s="246" t="n"/>
      <c r="BT88" s="246" t="n"/>
      <c r="BU88" s="246" t="n"/>
      <c r="BV88" s="246" t="n"/>
      <c r="BW88" s="246" t="n"/>
      <c r="BX88" s="246" t="n"/>
      <c r="BY88" s="246" t="n"/>
      <c r="BZ88" s="246" t="n"/>
      <c r="CA88" s="246" t="n"/>
      <c r="CB88" s="246" t="n"/>
      <c r="CC88" s="246" t="n"/>
      <c r="CD88" s="246" t="n"/>
      <c r="CE88" s="246" t="n"/>
      <c r="CF88" s="246" t="n"/>
      <c r="CG88" s="246" t="n"/>
      <c r="CH88" s="246" t="n"/>
      <c r="CI88" s="246" t="n"/>
      <c r="CJ88" s="246" t="n"/>
      <c r="CK88" s="246" t="n"/>
      <c r="CL88" s="246" t="n"/>
      <c r="CM88" s="246" t="n"/>
      <c r="CN88" s="246" t="n"/>
      <c r="CO88" s="246" t="n"/>
      <c r="CP88" s="246" t="n"/>
      <c r="CQ88" s="246" t="n"/>
      <c r="CR88" s="246" t="n"/>
    </row>
    <row r="89" ht="10.5" customHeight="1">
      <c r="B89" s="1061" t="n"/>
      <c r="C89" s="1062" t="n"/>
      <c r="D89" s="1061" t="n"/>
      <c r="G89" s="1062" t="n"/>
      <c r="H89" s="1054" t="n"/>
      <c r="I89" s="1055" t="n"/>
      <c r="J89" s="1055" t="n"/>
      <c r="K89" s="1056" t="n"/>
      <c r="L89" s="1051" t="n"/>
      <c r="M89" s="1052" t="n"/>
      <c r="N89" s="1052" t="n"/>
      <c r="O89" s="1052" t="n"/>
      <c r="P89" s="1052" t="n"/>
      <c r="Q89" s="1052" t="n"/>
      <c r="R89" s="1052" t="n"/>
      <c r="S89" s="1053" t="n"/>
      <c r="T89" s="1054" t="n"/>
      <c r="U89" s="1055" t="n"/>
      <c r="V89" s="1055" t="n"/>
      <c r="W89" s="1056" t="n"/>
      <c r="X89" s="1051" t="n"/>
      <c r="Y89" s="1052" t="n"/>
      <c r="Z89" s="1052" t="n"/>
      <c r="AA89" s="1052" t="n"/>
      <c r="AB89" s="1052" t="n"/>
      <c r="AC89" s="1052" t="n"/>
      <c r="AD89" s="1052" t="n"/>
      <c r="AE89" s="1052" t="n"/>
      <c r="AF89" s="1052" t="n"/>
      <c r="AG89" s="1052" t="n"/>
      <c r="AH89" s="1052" t="n"/>
      <c r="AI89" s="1052" t="n"/>
      <c r="AJ89" s="1052" t="n"/>
      <c r="AK89" s="1052" t="n"/>
      <c r="AL89" s="1052" t="n"/>
      <c r="AM89" s="1052" t="n"/>
      <c r="AN89" s="1052" t="n"/>
      <c r="AO89" s="1052" t="n"/>
      <c r="AP89" s="1052" t="n"/>
      <c r="AQ89" s="1052" t="n"/>
      <c r="AR89" s="1052" t="n"/>
      <c r="AS89" s="1052" t="n"/>
      <c r="AT89" s="1052" t="n"/>
      <c r="AU89" s="1052" t="n"/>
      <c r="AV89" s="1052" t="n"/>
      <c r="AW89" s="1053" t="n"/>
      <c r="AX89" s="246" t="n"/>
      <c r="AY89" s="246" t="n"/>
      <c r="AZ89" s="246" t="n"/>
      <c r="BA89" s="246" t="n"/>
      <c r="BB89" s="246" t="n"/>
      <c r="BC89" s="246" t="n"/>
      <c r="BD89" s="246" t="n"/>
      <c r="BE89" s="246" t="n"/>
      <c r="BF89" s="246" t="n"/>
      <c r="BG89" s="246" t="n"/>
      <c r="BH89" s="246" t="n"/>
      <c r="BI89" s="246" t="n"/>
      <c r="BJ89" s="246" t="n"/>
      <c r="BK89" s="246" t="n"/>
      <c r="BL89" s="246" t="n"/>
      <c r="BM89" s="246" t="n"/>
      <c r="BN89" s="246" t="n"/>
      <c r="BO89" s="246" t="n"/>
      <c r="BP89" s="246" t="n"/>
      <c r="BQ89" s="246" t="n"/>
      <c r="BR89" s="246" t="n"/>
      <c r="BS89" s="246" t="n"/>
      <c r="BT89" s="246" t="n"/>
      <c r="BU89" s="246" t="n"/>
      <c r="BV89" s="246" t="n"/>
      <c r="BW89" s="246" t="n"/>
      <c r="BX89" s="246" t="n"/>
      <c r="BY89" s="246" t="n"/>
      <c r="BZ89" s="246" t="n"/>
      <c r="CA89" s="246" t="n"/>
      <c r="CB89" s="246" t="n"/>
      <c r="CC89" s="246" t="n"/>
      <c r="CD89" s="246" t="n"/>
      <c r="CE89" s="246" t="n"/>
      <c r="CF89" s="246" t="n"/>
      <c r="CG89" s="246" t="n"/>
      <c r="CH89" s="246" t="n"/>
      <c r="CI89" s="246" t="n"/>
      <c r="CJ89" s="246" t="n"/>
      <c r="CK89" s="246" t="n"/>
      <c r="CL89" s="246" t="n"/>
      <c r="CM89" s="246" t="n"/>
      <c r="CN89" s="246" t="n"/>
      <c r="CO89" s="246" t="n"/>
      <c r="CP89" s="246" t="n"/>
      <c r="CQ89" s="246" t="n"/>
      <c r="CR89" s="246" t="n"/>
    </row>
    <row r="90" ht="10.5" customHeight="1">
      <c r="B90" s="1061" t="n"/>
      <c r="C90" s="1062" t="n"/>
      <c r="D90" s="1061" t="n"/>
      <c r="G90" s="1062" t="n"/>
      <c r="H90" s="561" t="inlineStr">
        <is>
          <t>金  額</t>
        </is>
      </c>
      <c r="I90" s="1045" t="n"/>
      <c r="J90" s="1045" t="n"/>
      <c r="K90" s="1046" t="n"/>
      <c r="L90" s="1114">
        <f>'②（土地・建物）事業収支シート'!H33</f>
        <v/>
      </c>
      <c r="M90" s="1042" t="n"/>
      <c r="N90" s="1042" t="n"/>
      <c r="O90" s="1042" t="n"/>
      <c r="P90" s="1042" t="n"/>
      <c r="Q90" s="1042" t="n"/>
      <c r="R90" s="580" t="inlineStr">
        <is>
          <t>円</t>
        </is>
      </c>
      <c r="S90" s="1040" t="n"/>
      <c r="T90" s="1115" t="inlineStr">
        <is>
          <t>(税率)</t>
        </is>
      </c>
      <c r="U90" s="1045" t="n"/>
      <c r="V90" s="1045" t="n"/>
      <c r="W90" s="1116" t="n">
        <v>10</v>
      </c>
      <c r="X90" s="1042" t="n"/>
      <c r="Y90" s="1117" t="inlineStr">
        <is>
          <t>％</t>
        </is>
      </c>
      <c r="Z90" s="1046" t="n"/>
      <c r="AA90" s="561" t="inlineStr">
        <is>
          <t>消費税</t>
        </is>
      </c>
      <c r="AB90" s="1045" t="n"/>
      <c r="AC90" s="1045" t="n"/>
      <c r="AD90" s="1046" t="n"/>
      <c r="AE90" s="1114">
        <f>L90*W90*0.01</f>
        <v/>
      </c>
      <c r="AF90" s="1042" t="n"/>
      <c r="AG90" s="1042" t="n"/>
      <c r="AH90" s="1042" t="n"/>
      <c r="AI90" s="1042" t="n"/>
      <c r="AJ90" s="580" t="inlineStr">
        <is>
          <t>円</t>
        </is>
      </c>
      <c r="AK90" s="1040" t="n"/>
      <c r="AL90" s="561" t="inlineStr">
        <is>
          <t>合  計</t>
        </is>
      </c>
      <c r="AM90" s="1045" t="n"/>
      <c r="AN90" s="1045" t="n"/>
      <c r="AO90" s="1046" t="n"/>
      <c r="AP90" s="1114">
        <f>L90+AE90</f>
        <v/>
      </c>
      <c r="AQ90" s="1042" t="n"/>
      <c r="AR90" s="1042" t="n"/>
      <c r="AS90" s="1042" t="n"/>
      <c r="AT90" s="1042" t="n"/>
      <c r="AU90" s="1042" t="n"/>
      <c r="AV90" s="580" t="inlineStr">
        <is>
          <t>円</t>
        </is>
      </c>
      <c r="AW90" s="1040" t="n"/>
      <c r="AX90" s="246" t="n"/>
      <c r="AY90" s="246" t="n"/>
      <c r="BG90" s="246" t="n"/>
      <c r="BH90" s="246" t="n"/>
      <c r="BI90" s="246" t="n"/>
      <c r="BJ90" s="246" t="n"/>
      <c r="BK90" s="246" t="n"/>
      <c r="BL90" s="246" t="n"/>
      <c r="BM90" s="246" t="n"/>
      <c r="BN90" s="246" t="n"/>
      <c r="BO90" s="246" t="n"/>
      <c r="BP90" s="246" t="n"/>
      <c r="BQ90" s="246" t="n"/>
      <c r="BR90" s="246" t="n"/>
      <c r="BS90" s="246" t="n"/>
      <c r="BT90" s="246" t="n"/>
      <c r="BU90" s="246" t="n"/>
      <c r="BV90" s="246" t="n"/>
      <c r="BW90" s="246" t="n"/>
      <c r="BX90" s="246" t="n"/>
      <c r="BY90" s="246" t="n"/>
      <c r="BZ90" s="246" t="n"/>
      <c r="CA90" s="246" t="n"/>
      <c r="CB90" s="246" t="n"/>
      <c r="CC90" s="246" t="n"/>
      <c r="CD90" s="246" t="n"/>
      <c r="CE90" s="246" t="n"/>
      <c r="CF90" s="246" t="n"/>
      <c r="CG90" s="246" t="n"/>
      <c r="CH90" s="246" t="n"/>
      <c r="CI90" s="246" t="n"/>
      <c r="CJ90" s="246" t="n"/>
      <c r="CK90" s="246" t="n"/>
      <c r="CL90" s="246" t="n"/>
      <c r="CM90" s="246" t="n"/>
      <c r="CN90" s="246" t="n"/>
      <c r="CO90" s="246" t="n"/>
      <c r="CP90" s="246" t="n"/>
      <c r="CQ90" s="246" t="n"/>
      <c r="CR90" s="246" t="n"/>
    </row>
    <row r="91" ht="10.5" customHeight="1">
      <c r="B91" s="1061" t="n"/>
      <c r="C91" s="1062" t="n"/>
      <c r="D91" s="1061" t="n"/>
      <c r="G91" s="1062" t="n"/>
      <c r="H91" s="1054" t="n"/>
      <c r="I91" s="1055" t="n"/>
      <c r="J91" s="1055" t="n"/>
      <c r="K91" s="1056" t="n"/>
      <c r="L91" s="1051" t="n"/>
      <c r="M91" s="1052" t="n"/>
      <c r="N91" s="1052" t="n"/>
      <c r="O91" s="1052" t="n"/>
      <c r="P91" s="1052" t="n"/>
      <c r="Q91" s="1052" t="n"/>
      <c r="R91" s="1049" t="n"/>
      <c r="S91" s="1050" t="n"/>
      <c r="T91" s="1054" t="n"/>
      <c r="U91" s="1055" t="n"/>
      <c r="V91" s="1055" t="n"/>
      <c r="W91" s="1052" t="n"/>
      <c r="X91" s="1052" t="n"/>
      <c r="Y91" s="1055" t="n"/>
      <c r="Z91" s="1056" t="n"/>
      <c r="AA91" s="1054" t="n"/>
      <c r="AB91" s="1055" t="n"/>
      <c r="AC91" s="1055" t="n"/>
      <c r="AD91" s="1056" t="n"/>
      <c r="AE91" s="1051" t="n"/>
      <c r="AF91" s="1052" t="n"/>
      <c r="AG91" s="1052" t="n"/>
      <c r="AH91" s="1052" t="n"/>
      <c r="AI91" s="1052" t="n"/>
      <c r="AJ91" s="1049" t="n"/>
      <c r="AK91" s="1050" t="n"/>
      <c r="AL91" s="1054" t="n"/>
      <c r="AM91" s="1055" t="n"/>
      <c r="AN91" s="1055" t="n"/>
      <c r="AO91" s="1056" t="n"/>
      <c r="AP91" s="1051" t="n"/>
      <c r="AQ91" s="1052" t="n"/>
      <c r="AR91" s="1052" t="n"/>
      <c r="AS91" s="1052" t="n"/>
      <c r="AT91" s="1052" t="n"/>
      <c r="AU91" s="1052" t="n"/>
      <c r="AV91" s="1049" t="n"/>
      <c r="AW91" s="1050" t="n"/>
      <c r="AX91" s="246" t="n"/>
      <c r="AY91" s="246" t="n"/>
      <c r="BG91" s="246" t="n"/>
      <c r="BH91" s="246" t="n"/>
      <c r="BI91" s="246" t="n"/>
      <c r="BJ91" s="246" t="n"/>
      <c r="BK91" s="246" t="n"/>
      <c r="BL91" s="246" t="n"/>
      <c r="BM91" s="246" t="n"/>
      <c r="BN91" s="246" t="n"/>
      <c r="BO91" s="246" t="n"/>
      <c r="BP91" s="246" t="n"/>
      <c r="BQ91" s="246" t="n"/>
      <c r="BR91" s="246" t="n"/>
      <c r="BS91" s="246" t="n"/>
      <c r="BT91" s="246" t="n"/>
      <c r="BU91" s="246" t="n"/>
      <c r="BV91" s="246" t="n"/>
      <c r="BW91" s="246" t="n"/>
      <c r="BX91" s="246" t="n"/>
      <c r="BY91" s="246" t="n"/>
      <c r="BZ91" s="246" t="n"/>
      <c r="CA91" s="246" t="n"/>
      <c r="CB91" s="246" t="n"/>
      <c r="CC91" s="246" t="n"/>
      <c r="CD91" s="246" t="n"/>
      <c r="CE91" s="246" t="n"/>
      <c r="CF91" s="246" t="n"/>
      <c r="CG91" s="246" t="n"/>
      <c r="CH91" s="246" t="n"/>
      <c r="CI91" s="246" t="n"/>
      <c r="CJ91" s="246" t="n"/>
      <c r="CK91" s="246" t="n"/>
      <c r="CL91" s="246" t="n"/>
      <c r="CM91" s="246" t="n"/>
      <c r="CN91" s="246" t="n"/>
      <c r="CO91" s="246" t="n"/>
      <c r="CP91" s="246" t="n"/>
      <c r="CQ91" s="246" t="n"/>
      <c r="CR91" s="246" t="n"/>
    </row>
    <row r="92" ht="10.5" customHeight="1">
      <c r="B92" s="1061" t="n"/>
      <c r="C92" s="1062" t="n"/>
      <c r="D92" s="1061" t="n"/>
      <c r="G92" s="1062" t="n"/>
      <c r="H92" s="561" t="inlineStr">
        <is>
          <t>日  付</t>
        </is>
      </c>
      <c r="I92" s="1045" t="n"/>
      <c r="J92" s="1045" t="n"/>
      <c r="K92" s="1046" t="n"/>
      <c r="L92" s="1057" t="n"/>
      <c r="M92" s="1042" t="n"/>
      <c r="N92" s="1042" t="n"/>
      <c r="O92" s="1042" t="n"/>
      <c r="P92" s="1042" t="n"/>
      <c r="Q92" s="1042" t="n"/>
      <c r="R92" s="1042" t="n"/>
      <c r="S92" s="1043" t="n"/>
      <c r="T92" s="561" t="inlineStr">
        <is>
          <t>支払先</t>
        </is>
      </c>
      <c r="U92" s="1045" t="n"/>
      <c r="V92" s="1045" t="n"/>
      <c r="W92" s="1046" t="n"/>
      <c r="X92" s="560" t="n"/>
      <c r="Y92" s="1042" t="n"/>
      <c r="Z92" s="1042" t="n"/>
      <c r="AA92" s="1042" t="n"/>
      <c r="AB92" s="1042" t="n"/>
      <c r="AC92" s="1042" t="n"/>
      <c r="AD92" s="1042" t="n"/>
      <c r="AE92" s="1042" t="n"/>
      <c r="AF92" s="1042" t="n"/>
      <c r="AG92" s="1042" t="n"/>
      <c r="AH92" s="1042" t="n"/>
      <c r="AI92" s="1042" t="n"/>
      <c r="AJ92" s="1042" t="n"/>
      <c r="AK92" s="1042" t="n"/>
      <c r="AL92" s="1042" t="n"/>
      <c r="AM92" s="1042" t="n"/>
      <c r="AN92" s="1042" t="n"/>
      <c r="AO92" s="1042" t="n"/>
      <c r="AP92" s="1042" t="n"/>
      <c r="AQ92" s="1042" t="n"/>
      <c r="AR92" s="1042" t="n"/>
      <c r="AS92" s="1042" t="n"/>
      <c r="AT92" s="1042" t="n"/>
      <c r="AU92" s="1042" t="n"/>
      <c r="AV92" s="1042" t="n"/>
      <c r="AW92" s="1043" t="n"/>
      <c r="AX92" s="246" t="n"/>
      <c r="AY92" s="246" t="n"/>
      <c r="AZ92" s="246" t="n"/>
      <c r="BA92" s="246" t="n"/>
      <c r="BB92" s="246" t="n"/>
      <c r="BC92" s="246" t="n"/>
      <c r="BD92" s="246" t="n"/>
      <c r="BE92" s="246" t="n"/>
      <c r="BF92" s="246" t="n"/>
      <c r="BG92" s="246" t="n"/>
      <c r="BH92" s="246" t="n"/>
      <c r="BI92" s="246" t="n"/>
      <c r="BJ92" s="246" t="n"/>
      <c r="BK92" s="246" t="n"/>
      <c r="BL92" s="246" t="n"/>
      <c r="BM92" s="246" t="n"/>
      <c r="BN92" s="246" t="n"/>
      <c r="BO92" s="246" t="n"/>
      <c r="BP92" s="246" t="n"/>
      <c r="BQ92" s="246" t="n"/>
      <c r="BR92" s="246" t="n"/>
      <c r="BS92" s="246" t="n"/>
      <c r="BT92" s="246" t="n"/>
      <c r="BU92" s="246" t="n"/>
      <c r="BV92" s="246" t="n"/>
      <c r="BW92" s="246" t="n"/>
      <c r="BX92" s="246" t="n"/>
      <c r="BY92" s="246" t="n"/>
      <c r="BZ92" s="246" t="n"/>
      <c r="CA92" s="246" t="n"/>
      <c r="CB92" s="246" t="n"/>
      <c r="CC92" s="246" t="n"/>
      <c r="CD92" s="246" t="n"/>
      <c r="CE92" s="246" t="n"/>
      <c r="CF92" s="246" t="n"/>
      <c r="CG92" s="246" t="n"/>
      <c r="CH92" s="246" t="n"/>
      <c r="CI92" s="246" t="n"/>
      <c r="CJ92" s="246" t="n"/>
      <c r="CK92" s="246" t="n"/>
      <c r="CL92" s="246" t="n"/>
      <c r="CM92" s="246" t="n"/>
      <c r="CN92" s="246" t="n"/>
      <c r="CO92" s="246" t="n"/>
      <c r="CP92" s="246" t="n"/>
      <c r="CQ92" s="246" t="n"/>
      <c r="CR92" s="246" t="n"/>
      <c r="CS92" s="246" t="n"/>
    </row>
    <row r="93" ht="10.5" customHeight="1">
      <c r="B93" s="1061" t="n"/>
      <c r="C93" s="1062" t="n"/>
      <c r="D93" s="1061" t="n"/>
      <c r="G93" s="1062" t="n"/>
      <c r="H93" s="1054" t="n"/>
      <c r="I93" s="1055" t="n"/>
      <c r="J93" s="1055" t="n"/>
      <c r="K93" s="1056" t="n"/>
      <c r="L93" s="1051" t="n"/>
      <c r="M93" s="1052" t="n"/>
      <c r="N93" s="1052" t="n"/>
      <c r="O93" s="1052" t="n"/>
      <c r="P93" s="1052" t="n"/>
      <c r="Q93" s="1052" t="n"/>
      <c r="R93" s="1052" t="n"/>
      <c r="S93" s="1053" t="n"/>
      <c r="T93" s="1054" t="n"/>
      <c r="U93" s="1055" t="n"/>
      <c r="V93" s="1055" t="n"/>
      <c r="W93" s="1056" t="n"/>
      <c r="X93" s="1051" t="n"/>
      <c r="Y93" s="1052" t="n"/>
      <c r="Z93" s="1052" t="n"/>
      <c r="AA93" s="1052" t="n"/>
      <c r="AB93" s="1052" t="n"/>
      <c r="AC93" s="1052" t="n"/>
      <c r="AD93" s="1052" t="n"/>
      <c r="AE93" s="1052" t="n"/>
      <c r="AF93" s="1052" t="n"/>
      <c r="AG93" s="1052" t="n"/>
      <c r="AH93" s="1052" t="n"/>
      <c r="AI93" s="1052" t="n"/>
      <c r="AJ93" s="1052" t="n"/>
      <c r="AK93" s="1052" t="n"/>
      <c r="AL93" s="1052" t="n"/>
      <c r="AM93" s="1052" t="n"/>
      <c r="AN93" s="1052" t="n"/>
      <c r="AO93" s="1052" t="n"/>
      <c r="AP93" s="1052" t="n"/>
      <c r="AQ93" s="1052" t="n"/>
      <c r="AR93" s="1052" t="n"/>
      <c r="AS93" s="1052" t="n"/>
      <c r="AT93" s="1052" t="n"/>
      <c r="AU93" s="1052" t="n"/>
      <c r="AV93" s="1052" t="n"/>
      <c r="AW93" s="1053" t="n"/>
      <c r="AX93" s="246" t="n"/>
      <c r="AY93" s="246" t="n"/>
      <c r="BK93" s="246" t="n"/>
      <c r="BL93" s="246" t="n"/>
      <c r="BM93" s="246" t="n"/>
      <c r="BN93" s="246" t="n"/>
      <c r="BO93" s="246" t="n"/>
      <c r="BP93" s="246" t="n"/>
      <c r="BQ93" s="246" t="n"/>
      <c r="BR93" s="246" t="n"/>
      <c r="BS93" s="246" t="n"/>
      <c r="BT93" s="246" t="n"/>
      <c r="BU93" s="246" t="n"/>
      <c r="BV93" s="246" t="n"/>
      <c r="BW93" s="246" t="n"/>
      <c r="BX93" s="246" t="n"/>
      <c r="BY93" s="246" t="n"/>
      <c r="BZ93" s="246" t="n"/>
      <c r="CA93" s="246" t="n"/>
      <c r="CB93" s="246" t="n"/>
      <c r="CC93" s="246" t="n"/>
      <c r="CD93" s="246" t="n"/>
      <c r="CE93" s="246" t="n"/>
      <c r="CF93" s="246" t="n"/>
      <c r="CG93" s="246" t="n"/>
      <c r="CH93" s="246" t="n"/>
      <c r="CI93" s="246" t="n"/>
      <c r="CJ93" s="246" t="n"/>
      <c r="CK93" s="246" t="n"/>
      <c r="CL93" s="246" t="n"/>
      <c r="CM93" s="246" t="n"/>
      <c r="CN93" s="246" t="n"/>
      <c r="CO93" s="246" t="n"/>
      <c r="CP93" s="246" t="n"/>
      <c r="CQ93" s="246" t="n"/>
      <c r="CR93" s="246" t="n"/>
      <c r="CS93" s="246" t="n"/>
    </row>
    <row r="94" ht="10.5" customHeight="1">
      <c r="B94" s="1061" t="n"/>
      <c r="C94" s="1062" t="n"/>
      <c r="D94" s="1061" t="n"/>
      <c r="G94" s="1062" t="n"/>
      <c r="H94" s="561" t="inlineStr">
        <is>
          <t>金  額</t>
        </is>
      </c>
      <c r="I94" s="1045" t="n"/>
      <c r="J94" s="1045" t="n"/>
      <c r="K94" s="1046" t="n"/>
      <c r="L94" s="1114" t="n"/>
      <c r="M94" s="1042" t="n"/>
      <c r="N94" s="1042" t="n"/>
      <c r="O94" s="1042" t="n"/>
      <c r="P94" s="1042" t="n"/>
      <c r="Q94" s="1042" t="n"/>
      <c r="R94" s="580" t="inlineStr">
        <is>
          <t>円</t>
        </is>
      </c>
      <c r="S94" s="1040" t="n"/>
      <c r="T94" s="1115" t="inlineStr">
        <is>
          <t>(税率)</t>
        </is>
      </c>
      <c r="U94" s="1045" t="n"/>
      <c r="V94" s="1045" t="n"/>
      <c r="W94" s="1116" t="n"/>
      <c r="X94" s="1042" t="n"/>
      <c r="Y94" s="1117" t="inlineStr">
        <is>
          <t>％</t>
        </is>
      </c>
      <c r="Z94" s="1046" t="n"/>
      <c r="AA94" s="561" t="inlineStr">
        <is>
          <t>消費税</t>
        </is>
      </c>
      <c r="AB94" s="1045" t="n"/>
      <c r="AC94" s="1045" t="n"/>
      <c r="AD94" s="1046" t="n"/>
      <c r="AE94" s="1114">
        <f>L94*W94*0.01</f>
        <v/>
      </c>
      <c r="AF94" s="1042" t="n"/>
      <c r="AG94" s="1042" t="n"/>
      <c r="AH94" s="1042" t="n"/>
      <c r="AI94" s="1042" t="n"/>
      <c r="AJ94" s="580" t="inlineStr">
        <is>
          <t>円</t>
        </is>
      </c>
      <c r="AK94" s="1040" t="n"/>
      <c r="AL94" s="561" t="inlineStr">
        <is>
          <t>合  計</t>
        </is>
      </c>
      <c r="AM94" s="1045" t="n"/>
      <c r="AN94" s="1045" t="n"/>
      <c r="AO94" s="1046" t="n"/>
      <c r="AP94" s="1114">
        <f>L94+AE94</f>
        <v/>
      </c>
      <c r="AQ94" s="1042" t="n"/>
      <c r="AR94" s="1042" t="n"/>
      <c r="AS94" s="1042" t="n"/>
      <c r="AT94" s="1042" t="n"/>
      <c r="AU94" s="1042" t="n"/>
      <c r="AV94" s="580" t="inlineStr">
        <is>
          <t>円</t>
        </is>
      </c>
      <c r="AW94" s="1040" t="n"/>
      <c r="AX94" s="246" t="n"/>
      <c r="AY94" s="246" t="n"/>
      <c r="BK94" s="246" t="n"/>
      <c r="BL94" s="246" t="n"/>
      <c r="BM94" s="246" t="n"/>
      <c r="BN94" s="246" t="n"/>
      <c r="BO94" s="246" t="n"/>
      <c r="BP94" s="246" t="n"/>
      <c r="BQ94" s="246" t="n"/>
      <c r="BR94" s="246" t="n"/>
      <c r="BS94" s="246" t="n"/>
      <c r="BT94" s="246" t="n"/>
      <c r="BU94" s="246" t="n"/>
      <c r="BV94" s="246" t="n"/>
      <c r="BW94" s="246" t="n"/>
      <c r="BX94" s="246" t="n"/>
      <c r="BY94" s="246" t="n"/>
      <c r="BZ94" s="246" t="n"/>
      <c r="CA94" s="246" t="n"/>
      <c r="CB94" s="246" t="n"/>
      <c r="CC94" s="246" t="n"/>
      <c r="CD94" s="246" t="n"/>
      <c r="CE94" s="246" t="n"/>
      <c r="CF94" s="246" t="n"/>
      <c r="CG94" s="246" t="n"/>
      <c r="CH94" s="246" t="n"/>
      <c r="CI94" s="246" t="n"/>
      <c r="CJ94" s="246" t="n"/>
      <c r="CK94" s="246" t="n"/>
      <c r="CL94" s="246" t="n"/>
      <c r="CM94" s="246" t="n"/>
      <c r="CN94" s="246" t="n"/>
      <c r="CO94" s="246" t="n"/>
      <c r="CP94" s="246" t="n"/>
      <c r="CQ94" s="246" t="n"/>
      <c r="CR94" s="246" t="n"/>
      <c r="CS94" s="246" t="n"/>
    </row>
    <row r="95" ht="10.5" customHeight="1">
      <c r="B95" s="1061" t="n"/>
      <c r="C95" s="1062" t="n"/>
      <c r="D95" s="1061" t="n"/>
      <c r="G95" s="1062" t="n"/>
      <c r="H95" s="1054" t="n"/>
      <c r="I95" s="1055" t="n"/>
      <c r="J95" s="1055" t="n"/>
      <c r="K95" s="1056" t="n"/>
      <c r="L95" s="1051" t="n"/>
      <c r="M95" s="1052" t="n"/>
      <c r="N95" s="1052" t="n"/>
      <c r="O95" s="1052" t="n"/>
      <c r="P95" s="1052" t="n"/>
      <c r="Q95" s="1052" t="n"/>
      <c r="R95" s="1049" t="n"/>
      <c r="S95" s="1050" t="n"/>
      <c r="T95" s="1054" t="n"/>
      <c r="U95" s="1055" t="n"/>
      <c r="V95" s="1055" t="n"/>
      <c r="W95" s="1052" t="n"/>
      <c r="X95" s="1052" t="n"/>
      <c r="Y95" s="1055" t="n"/>
      <c r="Z95" s="1056" t="n"/>
      <c r="AA95" s="1054" t="n"/>
      <c r="AB95" s="1055" t="n"/>
      <c r="AC95" s="1055" t="n"/>
      <c r="AD95" s="1056" t="n"/>
      <c r="AE95" s="1051" t="n"/>
      <c r="AF95" s="1052" t="n"/>
      <c r="AG95" s="1052" t="n"/>
      <c r="AH95" s="1052" t="n"/>
      <c r="AI95" s="1052" t="n"/>
      <c r="AJ95" s="1049" t="n"/>
      <c r="AK95" s="1050" t="n"/>
      <c r="AL95" s="1054" t="n"/>
      <c r="AM95" s="1055" t="n"/>
      <c r="AN95" s="1055" t="n"/>
      <c r="AO95" s="1056" t="n"/>
      <c r="AP95" s="1051" t="n"/>
      <c r="AQ95" s="1052" t="n"/>
      <c r="AR95" s="1052" t="n"/>
      <c r="AS95" s="1052" t="n"/>
      <c r="AT95" s="1052" t="n"/>
      <c r="AU95" s="1052" t="n"/>
      <c r="AV95" s="1049" t="n"/>
      <c r="AW95" s="1050" t="n"/>
      <c r="AX95" s="246" t="n"/>
      <c r="AY95" s="246" t="n"/>
      <c r="BG95" s="246" t="n"/>
      <c r="BH95" s="246" t="n"/>
      <c r="BI95" s="246" t="n"/>
      <c r="BJ95" s="246" t="n"/>
      <c r="BK95" s="246" t="n"/>
      <c r="BL95" s="246" t="n"/>
      <c r="BM95" s="246" t="n"/>
      <c r="BN95" s="246" t="n"/>
      <c r="BO95" s="246" t="n"/>
      <c r="BP95" s="246" t="n"/>
      <c r="BQ95" s="246" t="n"/>
      <c r="BR95" s="246" t="n"/>
      <c r="BS95" s="246" t="n"/>
      <c r="BT95" s="246" t="n"/>
      <c r="BU95" s="246" t="n"/>
      <c r="BV95" s="246" t="n"/>
      <c r="BW95" s="246" t="n"/>
      <c r="BX95" s="246" t="n"/>
      <c r="BY95" s="246" t="n"/>
      <c r="BZ95" s="246" t="n"/>
      <c r="CA95" s="246" t="n"/>
      <c r="CB95" s="246" t="n"/>
      <c r="CC95" s="246" t="n"/>
      <c r="CD95" s="246" t="n"/>
      <c r="CE95" s="246" t="n"/>
      <c r="CF95" s="246" t="n"/>
      <c r="CG95" s="246" t="n"/>
      <c r="CH95" s="246" t="n"/>
      <c r="CI95" s="246" t="n"/>
      <c r="CJ95" s="246" t="n"/>
      <c r="CK95" s="246" t="n"/>
      <c r="CL95" s="246" t="n"/>
      <c r="CM95" s="246" t="n"/>
      <c r="CN95" s="246" t="n"/>
      <c r="CO95" s="246" t="n"/>
      <c r="CP95" s="246" t="n"/>
      <c r="CQ95" s="246" t="n"/>
      <c r="CR95" s="246" t="n"/>
      <c r="CS95" s="246" t="n"/>
    </row>
    <row r="96" ht="10.5" customHeight="1">
      <c r="B96" s="1061" t="n"/>
      <c r="C96" s="1062" t="n"/>
      <c r="D96" s="1061" t="n"/>
      <c r="G96" s="1062" t="n"/>
      <c r="H96" s="561" t="inlineStr">
        <is>
          <t>支払合計</t>
        </is>
      </c>
      <c r="I96" s="1045" t="n"/>
      <c r="J96" s="1045" t="n"/>
      <c r="K96" s="1046" t="n"/>
      <c r="L96" s="1114">
        <f>AP90+AP94</f>
        <v/>
      </c>
      <c r="M96" s="1042" t="n"/>
      <c r="N96" s="1042" t="n"/>
      <c r="O96" s="1042" t="n"/>
      <c r="P96" s="1042" t="n"/>
      <c r="Q96" s="1042" t="n"/>
      <c r="R96" s="1042" t="n"/>
      <c r="S96" s="1042" t="n"/>
      <c r="T96" s="580" t="inlineStr">
        <is>
          <t>円</t>
        </is>
      </c>
      <c r="U96" s="1040" t="n"/>
      <c r="V96" s="1120" t="inlineStr">
        <is>
          <t>（内訳）</t>
        </is>
      </c>
      <c r="W96" s="1045" t="n"/>
      <c r="X96" s="1045" t="n"/>
      <c r="Y96" s="1121" t="n"/>
      <c r="Z96" s="596" t="inlineStr">
        <is>
          <t>税抜合計</t>
        </is>
      </c>
      <c r="AA96" s="1045" t="n"/>
      <c r="AB96" s="1045" t="n"/>
      <c r="AC96" s="1046" t="n"/>
      <c r="AD96" s="1114">
        <f>L90+L94</f>
        <v/>
      </c>
      <c r="AE96" s="1042" t="n"/>
      <c r="AF96" s="1042" t="n"/>
      <c r="AG96" s="1042" t="n"/>
      <c r="AH96" s="1042" t="n"/>
      <c r="AI96" s="1042" t="n"/>
      <c r="AJ96" s="580" t="inlineStr">
        <is>
          <t>円</t>
        </is>
      </c>
      <c r="AK96" s="1040" t="n"/>
      <c r="AL96" s="561" t="inlineStr">
        <is>
          <t>消費税合計</t>
        </is>
      </c>
      <c r="AM96" s="1045" t="n"/>
      <c r="AN96" s="1045" t="n"/>
      <c r="AO96" s="1046" t="n"/>
      <c r="AP96" s="1114">
        <f>AE90+AE94</f>
        <v/>
      </c>
      <c r="AQ96" s="1042" t="n"/>
      <c r="AR96" s="1042" t="n"/>
      <c r="AS96" s="1042" t="n"/>
      <c r="AT96" s="1042" t="n"/>
      <c r="AU96" s="1042" t="n"/>
      <c r="AV96" s="580" t="inlineStr">
        <is>
          <t>円</t>
        </is>
      </c>
      <c r="AW96" s="1040" t="n"/>
      <c r="AX96" s="246" t="n"/>
      <c r="AY96" s="246" t="n"/>
      <c r="AZ96" s="246" t="n"/>
      <c r="BA96" s="246" t="n"/>
      <c r="BB96" s="246" t="n"/>
      <c r="BC96" s="246" t="n"/>
      <c r="BD96" s="246" t="n"/>
      <c r="BE96" s="246" t="n"/>
      <c r="BF96" s="246" t="n"/>
      <c r="BG96" s="246" t="n"/>
      <c r="BH96" s="246" t="n"/>
      <c r="BI96" s="246" t="n"/>
      <c r="BJ96" s="246" t="n"/>
      <c r="BK96" s="246" t="n"/>
      <c r="BL96" s="246" t="n"/>
      <c r="BM96" s="246" t="n"/>
      <c r="BN96" s="246" t="n"/>
      <c r="BO96" s="246" t="n"/>
      <c r="BP96" s="246" t="n"/>
      <c r="BQ96" s="246" t="n"/>
      <c r="BR96" s="246" t="n"/>
      <c r="BS96" s="246" t="n"/>
      <c r="BT96" s="246" t="n"/>
      <c r="BU96" s="246" t="n"/>
      <c r="BV96" s="246" t="n"/>
      <c r="BW96" s="246" t="n"/>
      <c r="BX96" s="246" t="n"/>
      <c r="BY96" s="246" t="n"/>
      <c r="BZ96" s="246" t="n"/>
      <c r="CA96" s="246" t="n"/>
      <c r="CB96" s="246" t="n"/>
      <c r="CC96" s="246" t="n"/>
      <c r="CD96" s="246" t="n"/>
      <c r="CE96" s="246" t="n"/>
      <c r="CF96" s="246" t="n"/>
      <c r="CG96" s="246" t="n"/>
      <c r="CH96" s="246" t="n"/>
      <c r="CI96" s="246" t="n"/>
      <c r="CJ96" s="246" t="n"/>
      <c r="CK96" s="246" t="n"/>
      <c r="CL96" s="246" t="n"/>
      <c r="CM96" s="246" t="n"/>
      <c r="CN96" s="246" t="n"/>
      <c r="CO96" s="246" t="n"/>
      <c r="CP96" s="246" t="n"/>
      <c r="CQ96" s="246" t="n"/>
      <c r="CR96" s="246" t="n"/>
      <c r="CS96" s="246" t="n"/>
    </row>
    <row r="97" ht="10.5" customHeight="1">
      <c r="B97" s="1061" t="n"/>
      <c r="C97" s="1062" t="n"/>
      <c r="D97" s="1054" t="n"/>
      <c r="E97" s="1055" t="n"/>
      <c r="F97" s="1055" t="n"/>
      <c r="G97" s="1056" t="n"/>
      <c r="H97" s="1054" t="n"/>
      <c r="I97" s="1055" t="n"/>
      <c r="J97" s="1055" t="n"/>
      <c r="K97" s="1056" t="n"/>
      <c r="L97" s="1051" t="n"/>
      <c r="M97" s="1052" t="n"/>
      <c r="N97" s="1052" t="n"/>
      <c r="O97" s="1052" t="n"/>
      <c r="P97" s="1052" t="n"/>
      <c r="Q97" s="1052" t="n"/>
      <c r="R97" s="1052" t="n"/>
      <c r="S97" s="1052" t="n"/>
      <c r="T97" s="1049" t="n"/>
      <c r="U97" s="1050" t="n"/>
      <c r="V97" s="1122" t="n"/>
      <c r="W97" s="1123" t="n"/>
      <c r="X97" s="1123" t="n"/>
      <c r="Y97" s="1124" t="n"/>
      <c r="Z97" s="1055" t="n"/>
      <c r="AA97" s="1055" t="n"/>
      <c r="AB97" s="1055" t="n"/>
      <c r="AC97" s="1056" t="n"/>
      <c r="AD97" s="1051" t="n"/>
      <c r="AE97" s="1052" t="n"/>
      <c r="AF97" s="1052" t="n"/>
      <c r="AG97" s="1052" t="n"/>
      <c r="AH97" s="1052" t="n"/>
      <c r="AI97" s="1052" t="n"/>
      <c r="AJ97" s="1049" t="n"/>
      <c r="AK97" s="1050" t="n"/>
      <c r="AL97" s="1054" t="n"/>
      <c r="AM97" s="1055" t="n"/>
      <c r="AN97" s="1055" t="n"/>
      <c r="AO97" s="1056" t="n"/>
      <c r="AP97" s="1051" t="n"/>
      <c r="AQ97" s="1052" t="n"/>
      <c r="AR97" s="1052" t="n"/>
      <c r="AS97" s="1052" t="n"/>
      <c r="AT97" s="1052" t="n"/>
      <c r="AU97" s="1052" t="n"/>
      <c r="AV97" s="1049" t="n"/>
      <c r="AW97" s="1050" t="n"/>
      <c r="AX97" s="246" t="n"/>
      <c r="AY97" s="246" t="n"/>
      <c r="BK97" s="246" t="n"/>
      <c r="BL97" s="246" t="n"/>
      <c r="BM97" s="246" t="n"/>
      <c r="BN97" s="246" t="n"/>
      <c r="BO97" s="246" t="n"/>
      <c r="BP97" s="246" t="n"/>
      <c r="BQ97" s="246" t="n"/>
      <c r="BR97" s="246" t="n"/>
      <c r="BS97" s="246" t="n"/>
      <c r="BT97" s="246" t="n"/>
      <c r="BU97" s="246" t="n"/>
      <c r="BV97" s="246" t="n"/>
      <c r="BW97" s="246" t="n"/>
      <c r="BX97" s="246" t="n"/>
      <c r="BY97" s="246" t="n"/>
      <c r="BZ97" s="246" t="n"/>
      <c r="CA97" s="246" t="n"/>
      <c r="CB97" s="246" t="n"/>
      <c r="CC97" s="246" t="n"/>
      <c r="CD97" s="246" t="n"/>
      <c r="CE97" s="246" t="n"/>
      <c r="CF97" s="246" t="n"/>
      <c r="CG97" s="246" t="n"/>
      <c r="CH97" s="246" t="n"/>
      <c r="CI97" s="246" t="n"/>
      <c r="CJ97" s="246" t="n"/>
      <c r="CK97" s="246" t="n"/>
      <c r="CL97" s="246" t="n"/>
      <c r="CM97" s="246" t="n"/>
      <c r="CN97" s="246" t="n"/>
      <c r="CO97" s="246" t="n"/>
      <c r="CP97" s="246" t="n"/>
      <c r="CQ97" s="246" t="n"/>
      <c r="CR97" s="246" t="n"/>
      <c r="CS97" s="246" t="n"/>
    </row>
    <row r="98" ht="10.5" customHeight="1">
      <c r="B98" s="1125" t="inlineStr">
        <is>
          <t>仲介者</t>
        </is>
      </c>
      <c r="C98" s="1045" t="n"/>
      <c r="D98" s="561" t="inlineStr">
        <is>
          <t>商  号</t>
        </is>
      </c>
      <c r="E98" s="1045" t="n"/>
      <c r="F98" s="1045" t="n"/>
      <c r="G98" s="1046" t="n"/>
      <c r="H98" s="560" t="n"/>
      <c r="I98" s="1042" t="n"/>
      <c r="J98" s="1042" t="n"/>
      <c r="K98" s="1042" t="n"/>
      <c r="L98" s="1042" t="n"/>
      <c r="M98" s="1042" t="n"/>
      <c r="N98" s="1042" t="n"/>
      <c r="O98" s="1042" t="n"/>
      <c r="P98" s="1042" t="n"/>
      <c r="Q98" s="1042" t="n"/>
      <c r="R98" s="1042" t="n"/>
      <c r="S98" s="1042" t="n"/>
      <c r="T98" s="1042" t="n"/>
      <c r="U98" s="1042" t="n"/>
      <c r="V98" s="1042" t="n"/>
      <c r="W98" s="1042" t="n"/>
      <c r="X98" s="1042" t="n"/>
      <c r="Y98" s="1043" t="n"/>
      <c r="Z98" s="561" t="inlineStr">
        <is>
          <t>住  所</t>
        </is>
      </c>
      <c r="AA98" s="1045" t="n"/>
      <c r="AB98" s="1045" t="n"/>
      <c r="AC98" s="1046" t="n"/>
      <c r="AD98" s="560" t="n"/>
      <c r="AE98" s="1042" t="n"/>
      <c r="AF98" s="1042" t="n"/>
      <c r="AG98" s="1042" t="n"/>
      <c r="AH98" s="1042" t="n"/>
      <c r="AI98" s="1042" t="n"/>
      <c r="AJ98" s="1042" t="n"/>
      <c r="AK98" s="1042" t="n"/>
      <c r="AL98" s="1042" t="n"/>
      <c r="AM98" s="1042" t="n"/>
      <c r="AN98" s="1042" t="n"/>
      <c r="AO98" s="1042" t="n"/>
      <c r="AP98" s="1042" t="n"/>
      <c r="AQ98" s="1042" t="n"/>
      <c r="AR98" s="1042" t="n"/>
      <c r="AS98" s="1042" t="n"/>
      <c r="AT98" s="1042" t="n"/>
      <c r="AU98" s="1042" t="n"/>
      <c r="AV98" s="1042" t="n"/>
      <c r="AW98" s="1043" t="n"/>
      <c r="AX98" s="246" t="n"/>
      <c r="AY98" s="246" t="n"/>
    </row>
    <row r="99" ht="10.5" customHeight="1">
      <c r="B99" s="1061" t="n"/>
      <c r="D99" s="1054" t="n"/>
      <c r="E99" s="1055" t="n"/>
      <c r="F99" s="1055" t="n"/>
      <c r="G99" s="1056" t="n"/>
      <c r="H99" s="1051" t="n"/>
      <c r="I99" s="1052" t="n"/>
      <c r="J99" s="1052" t="n"/>
      <c r="K99" s="1052" t="n"/>
      <c r="L99" s="1052" t="n"/>
      <c r="M99" s="1052" t="n"/>
      <c r="N99" s="1052" t="n"/>
      <c r="O99" s="1052" t="n"/>
      <c r="P99" s="1052" t="n"/>
      <c r="Q99" s="1052" t="n"/>
      <c r="R99" s="1052" t="n"/>
      <c r="S99" s="1052" t="n"/>
      <c r="T99" s="1052" t="n"/>
      <c r="U99" s="1052" t="n"/>
      <c r="V99" s="1052" t="n"/>
      <c r="W99" s="1052" t="n"/>
      <c r="X99" s="1052" t="n"/>
      <c r="Y99" s="1053" t="n"/>
      <c r="Z99" s="1054" t="n"/>
      <c r="AA99" s="1055" t="n"/>
      <c r="AB99" s="1055" t="n"/>
      <c r="AC99" s="1056" t="n"/>
      <c r="AD99" s="1051" t="n"/>
      <c r="AE99" s="1052" t="n"/>
      <c r="AF99" s="1052" t="n"/>
      <c r="AG99" s="1052" t="n"/>
      <c r="AH99" s="1052" t="n"/>
      <c r="AI99" s="1052" t="n"/>
      <c r="AJ99" s="1052" t="n"/>
      <c r="AK99" s="1052" t="n"/>
      <c r="AL99" s="1052" t="n"/>
      <c r="AM99" s="1052" t="n"/>
      <c r="AN99" s="1052" t="n"/>
      <c r="AO99" s="1052" t="n"/>
      <c r="AP99" s="1052" t="n"/>
      <c r="AQ99" s="1052" t="n"/>
      <c r="AR99" s="1052" t="n"/>
      <c r="AS99" s="1052" t="n"/>
      <c r="AT99" s="1052" t="n"/>
      <c r="AU99" s="1052" t="n"/>
      <c r="AV99" s="1052" t="n"/>
      <c r="AW99" s="1053" t="n"/>
      <c r="AX99" s="246" t="n"/>
      <c r="AY99" s="246" t="n"/>
      <c r="AZ99" s="246" t="n"/>
    </row>
    <row r="100" ht="10.5" customHeight="1">
      <c r="B100" s="1061" t="n"/>
      <c r="D100" s="561" t="inlineStr">
        <is>
          <t>商  号</t>
        </is>
      </c>
      <c r="E100" s="1045" t="n"/>
      <c r="F100" s="1045" t="n"/>
      <c r="G100" s="1046" t="n"/>
      <c r="H100" s="560" t="n"/>
      <c r="I100" s="1042" t="n"/>
      <c r="J100" s="1042" t="n"/>
      <c r="K100" s="1042" t="n"/>
      <c r="L100" s="1042" t="n"/>
      <c r="M100" s="1042" t="n"/>
      <c r="N100" s="1042" t="n"/>
      <c r="O100" s="1042" t="n"/>
      <c r="P100" s="1042" t="n"/>
      <c r="Q100" s="1042" t="n"/>
      <c r="R100" s="1042" t="n"/>
      <c r="S100" s="1042" t="n"/>
      <c r="T100" s="1042" t="n"/>
      <c r="U100" s="1042" t="n"/>
      <c r="V100" s="1042" t="n"/>
      <c r="W100" s="1042" t="n"/>
      <c r="X100" s="1042" t="n"/>
      <c r="Y100" s="1043" t="n"/>
      <c r="Z100" s="561" t="inlineStr">
        <is>
          <t>住  所</t>
        </is>
      </c>
      <c r="AA100" s="1045" t="n"/>
      <c r="AB100" s="1045" t="n"/>
      <c r="AC100" s="1046" t="n"/>
      <c r="AD100" s="560" t="n"/>
      <c r="AE100" s="1042" t="n"/>
      <c r="AF100" s="1042" t="n"/>
      <c r="AG100" s="1042" t="n"/>
      <c r="AH100" s="1042" t="n"/>
      <c r="AI100" s="1042" t="n"/>
      <c r="AJ100" s="1042" t="n"/>
      <c r="AK100" s="1042" t="n"/>
      <c r="AL100" s="1042" t="n"/>
      <c r="AM100" s="1042" t="n"/>
      <c r="AN100" s="1042" t="n"/>
      <c r="AO100" s="1042" t="n"/>
      <c r="AP100" s="1042" t="n"/>
      <c r="AQ100" s="1042" t="n"/>
      <c r="AR100" s="1042" t="n"/>
      <c r="AS100" s="1042" t="n"/>
      <c r="AT100" s="1042" t="n"/>
      <c r="AU100" s="1042" t="n"/>
      <c r="AV100" s="1042" t="n"/>
      <c r="AW100" s="1043" t="n"/>
      <c r="AX100" s="246" t="n"/>
      <c r="AY100" s="246" t="n"/>
      <c r="AZ100" s="246" t="n"/>
    </row>
    <row r="101" ht="10.5" customHeight="1">
      <c r="B101" s="1054" t="n"/>
      <c r="C101" s="1055" t="n"/>
      <c r="D101" s="1054" t="n"/>
      <c r="E101" s="1055" t="n"/>
      <c r="F101" s="1055" t="n"/>
      <c r="G101" s="1056" t="n"/>
      <c r="H101" s="1051" t="n"/>
      <c r="I101" s="1052" t="n"/>
      <c r="J101" s="1052" t="n"/>
      <c r="K101" s="1052" t="n"/>
      <c r="L101" s="1052" t="n"/>
      <c r="M101" s="1052" t="n"/>
      <c r="N101" s="1052" t="n"/>
      <c r="O101" s="1052" t="n"/>
      <c r="P101" s="1052" t="n"/>
      <c r="Q101" s="1052" t="n"/>
      <c r="R101" s="1052" t="n"/>
      <c r="S101" s="1052" t="n"/>
      <c r="T101" s="1052" t="n"/>
      <c r="U101" s="1052" t="n"/>
      <c r="V101" s="1052" t="n"/>
      <c r="W101" s="1052" t="n"/>
      <c r="X101" s="1052" t="n"/>
      <c r="Y101" s="1053" t="n"/>
      <c r="Z101" s="1054" t="n"/>
      <c r="AA101" s="1055" t="n"/>
      <c r="AB101" s="1055" t="n"/>
      <c r="AC101" s="1056" t="n"/>
      <c r="AD101" s="1051" t="n"/>
      <c r="AE101" s="1052" t="n"/>
      <c r="AF101" s="1052" t="n"/>
      <c r="AG101" s="1052" t="n"/>
      <c r="AH101" s="1052" t="n"/>
      <c r="AI101" s="1052" t="n"/>
      <c r="AJ101" s="1052" t="n"/>
      <c r="AK101" s="1052" t="n"/>
      <c r="AL101" s="1052" t="n"/>
      <c r="AM101" s="1052" t="n"/>
      <c r="AN101" s="1052" t="n"/>
      <c r="AO101" s="1052" t="n"/>
      <c r="AP101" s="1052" t="n"/>
      <c r="AQ101" s="1052" t="n"/>
      <c r="AR101" s="1052" t="n"/>
      <c r="AS101" s="1052" t="n"/>
      <c r="AT101" s="1052" t="n"/>
      <c r="AU101" s="1052" t="n"/>
      <c r="AV101" s="1052" t="n"/>
      <c r="AW101" s="1053" t="n"/>
      <c r="AX101" s="246" t="n"/>
      <c r="AY101" s="246" t="n"/>
      <c r="AZ101" s="246" t="n"/>
      <c r="BA101" s="246" t="n"/>
      <c r="BB101" s="246" t="n"/>
      <c r="BC101" s="246" t="n"/>
      <c r="BD101" s="246" t="n"/>
      <c r="BE101" s="246" t="n"/>
      <c r="BF101" s="246" t="n"/>
      <c r="BG101" s="246" t="n"/>
      <c r="BH101" s="246" t="n"/>
      <c r="BI101" s="246" t="n"/>
      <c r="BJ101" s="246" t="n"/>
      <c r="BK101" s="246" t="n"/>
      <c r="BL101" s="246" t="n"/>
      <c r="BM101" s="246" t="n"/>
      <c r="BN101" s="246" t="n"/>
      <c r="BO101" s="246" t="n"/>
      <c r="BP101" s="246" t="n"/>
      <c r="BQ101" s="246" t="n"/>
      <c r="BR101" s="246" t="n"/>
      <c r="BS101" s="246" t="n"/>
      <c r="BT101" s="246" t="n"/>
      <c r="BU101" s="246" t="n"/>
      <c r="BV101" s="246" t="n"/>
      <c r="BW101" s="246" t="n"/>
      <c r="BX101" s="246" t="n"/>
      <c r="BY101" s="246" t="n"/>
      <c r="BZ101" s="246" t="n"/>
      <c r="CA101" s="246" t="n"/>
      <c r="CB101" s="246" t="n"/>
      <c r="CC101" s="246" t="n"/>
      <c r="CD101" s="246" t="n"/>
      <c r="CE101" s="246" t="n"/>
      <c r="CF101" s="246" t="n"/>
      <c r="CG101" s="246" t="n"/>
      <c r="CH101" s="246" t="n"/>
      <c r="CI101" s="246" t="n"/>
      <c r="CJ101" s="246" t="n"/>
      <c r="CK101" s="246" t="n"/>
    </row>
    <row r="102" ht="10.5" customHeight="1">
      <c r="B102" s="246" t="n"/>
      <c r="C102" s="246" t="n"/>
      <c r="D102" s="246" t="n"/>
      <c r="E102" s="246" t="n"/>
      <c r="F102" s="246" t="n"/>
      <c r="G102" s="246" t="n"/>
      <c r="H102" s="246" t="n"/>
      <c r="I102" s="246" t="n"/>
      <c r="J102" s="246" t="n"/>
      <c r="K102" s="246" t="n"/>
      <c r="L102" s="246" t="n"/>
      <c r="M102" s="246" t="n"/>
      <c r="N102" s="246" t="n"/>
      <c r="O102" s="246" t="n"/>
      <c r="P102" s="246" t="n"/>
      <c r="Q102" s="246" t="n"/>
      <c r="R102" s="246" t="n"/>
      <c r="S102" s="246" t="n"/>
      <c r="AP102" s="280" t="n"/>
      <c r="AQ102" s="280" t="n"/>
      <c r="AR102" s="280" t="n"/>
      <c r="AS102" s="280" t="n"/>
      <c r="AT102" s="280" t="n"/>
      <c r="AU102" s="280" t="n"/>
      <c r="AV102" s="280" t="n"/>
      <c r="AW102" s="280" t="n"/>
      <c r="AX102" s="246" t="n"/>
      <c r="AY102" s="246" t="n"/>
      <c r="AZ102" s="246" t="n"/>
      <c r="BA102" s="246" t="n"/>
      <c r="BB102" s="246" t="n"/>
      <c r="BC102" s="246" t="n"/>
      <c r="BD102" s="246" t="n"/>
      <c r="BE102" s="246" t="n"/>
      <c r="BF102" s="246" t="n"/>
      <c r="BG102" s="246" t="n"/>
      <c r="BH102" s="246" t="n"/>
      <c r="BI102" s="246" t="n"/>
      <c r="BJ102" s="246" t="n"/>
      <c r="BK102" s="246" t="n"/>
      <c r="BL102" s="246" t="n"/>
      <c r="BM102" s="246" t="n"/>
      <c r="BN102" s="246" t="n"/>
      <c r="BO102" s="246" t="n"/>
      <c r="BP102" s="246" t="n"/>
      <c r="BQ102" s="246" t="n"/>
      <c r="BR102" s="246" t="n"/>
      <c r="BS102" s="246" t="n"/>
      <c r="BT102" s="246" t="n"/>
      <c r="BU102" s="246" t="n"/>
      <c r="BV102" s="246" t="n"/>
      <c r="BW102" s="246" t="n"/>
      <c r="BX102" s="246" t="n"/>
      <c r="BY102" s="246" t="n"/>
      <c r="BZ102" s="246" t="n"/>
      <c r="CA102" s="246" t="n"/>
      <c r="CB102" s="246" t="n"/>
      <c r="CC102" s="246" t="n"/>
      <c r="CD102" s="246" t="n"/>
      <c r="CE102" s="246" t="n"/>
      <c r="CF102" s="246" t="n"/>
      <c r="CG102" s="246" t="n"/>
      <c r="CH102" s="246" t="n"/>
      <c r="CI102" s="246" t="n"/>
      <c r="CJ102" s="246" t="n"/>
    </row>
    <row r="103" ht="10.5" customHeight="1">
      <c r="B103" s="561" t="inlineStr">
        <is>
          <t>備  考</t>
        </is>
      </c>
      <c r="C103" s="1045" t="n"/>
      <c r="D103" s="1045" t="n"/>
      <c r="E103" s="1045" t="n"/>
      <c r="F103" s="1045" t="n"/>
      <c r="G103" s="1046" t="n"/>
      <c r="H103" s="1126" t="n"/>
      <c r="I103" s="1042" t="n"/>
      <c r="J103" s="1042" t="n"/>
      <c r="K103" s="1042" t="n"/>
      <c r="L103" s="1042" t="n"/>
      <c r="M103" s="1042" t="n"/>
      <c r="N103" s="1042" t="n"/>
      <c r="O103" s="1042" t="n"/>
      <c r="P103" s="1042" t="n"/>
      <c r="Q103" s="1042" t="n"/>
      <c r="R103" s="1042" t="n"/>
      <c r="S103" s="1042" t="n"/>
      <c r="T103" s="1042" t="n"/>
      <c r="U103" s="1042" t="n"/>
      <c r="V103" s="1042" t="n"/>
      <c r="W103" s="1042" t="n"/>
      <c r="X103" s="1042" t="n"/>
      <c r="Y103" s="1042" t="n"/>
      <c r="Z103" s="1042" t="n"/>
      <c r="AA103" s="1042" t="n"/>
      <c r="AB103" s="1042" t="n"/>
      <c r="AC103" s="1042" t="n"/>
      <c r="AD103" s="1042" t="n"/>
      <c r="AE103" s="1042" t="n"/>
      <c r="AF103" s="1042" t="n"/>
      <c r="AG103" s="1042" t="n"/>
      <c r="AH103" s="1042" t="n"/>
      <c r="AI103" s="1042" t="n"/>
      <c r="AJ103" s="1042" t="n"/>
      <c r="AK103" s="1042" t="n"/>
      <c r="AL103" s="1042" t="n"/>
      <c r="AM103" s="1042" t="n"/>
      <c r="AN103" s="1042" t="n"/>
      <c r="AO103" s="1042" t="n"/>
      <c r="AP103" s="1042" t="n"/>
      <c r="AQ103" s="1042" t="n"/>
      <c r="AR103" s="1042" t="n"/>
      <c r="AS103" s="1042" t="n"/>
      <c r="AT103" s="1042" t="n"/>
      <c r="AU103" s="1042" t="n"/>
      <c r="AV103" s="1042" t="n"/>
      <c r="AW103" s="1043" t="n"/>
      <c r="AX103" s="246" t="n"/>
      <c r="AY103" s="246" t="n"/>
      <c r="AZ103" s="246" t="n"/>
    </row>
    <row r="104" ht="10.5" customHeight="1">
      <c r="B104" s="1061" t="n"/>
      <c r="G104" s="1062" t="n"/>
      <c r="H104" s="1082" t="n"/>
      <c r="I104" s="939" t="n"/>
      <c r="J104" s="939" t="n"/>
      <c r="K104" s="939" t="n"/>
      <c r="L104" s="939" t="n"/>
      <c r="M104" s="939" t="n"/>
      <c r="N104" s="939" t="n"/>
      <c r="O104" s="939" t="n"/>
      <c r="P104" s="939" t="n"/>
      <c r="Q104" s="939" t="n"/>
      <c r="R104" s="939" t="n"/>
      <c r="S104" s="939" t="n"/>
      <c r="T104" s="939" t="n"/>
      <c r="U104" s="939" t="n"/>
      <c r="V104" s="939" t="n"/>
      <c r="W104" s="939" t="n"/>
      <c r="X104" s="939" t="n"/>
      <c r="Y104" s="939" t="n"/>
      <c r="Z104" s="939" t="n"/>
      <c r="AA104" s="939" t="n"/>
      <c r="AB104" s="939" t="n"/>
      <c r="AC104" s="939" t="n"/>
      <c r="AD104" s="939" t="n"/>
      <c r="AE104" s="939" t="n"/>
      <c r="AF104" s="939" t="n"/>
      <c r="AG104" s="939" t="n"/>
      <c r="AH104" s="939" t="n"/>
      <c r="AI104" s="939" t="n"/>
      <c r="AJ104" s="939" t="n"/>
      <c r="AK104" s="939" t="n"/>
      <c r="AL104" s="939" t="n"/>
      <c r="AM104" s="939" t="n"/>
      <c r="AN104" s="939" t="n"/>
      <c r="AO104" s="939" t="n"/>
      <c r="AP104" s="939" t="n"/>
      <c r="AQ104" s="939" t="n"/>
      <c r="AR104" s="939" t="n"/>
      <c r="AS104" s="939" t="n"/>
      <c r="AT104" s="939" t="n"/>
      <c r="AU104" s="939" t="n"/>
      <c r="AV104" s="939" t="n"/>
      <c r="AW104" s="1060" t="n"/>
      <c r="AX104" s="246" t="n"/>
      <c r="AY104" s="246" t="n"/>
      <c r="AZ104" s="246" t="n"/>
    </row>
    <row r="105" ht="10.5" customHeight="1">
      <c r="B105" s="1061" t="n"/>
      <c r="G105" s="1062" t="n"/>
      <c r="H105" s="1082" t="n"/>
      <c r="I105" s="939" t="n"/>
      <c r="J105" s="939" t="n"/>
      <c r="K105" s="939" t="n"/>
      <c r="L105" s="939" t="n"/>
      <c r="M105" s="939" t="n"/>
      <c r="N105" s="939" t="n"/>
      <c r="O105" s="939" t="n"/>
      <c r="P105" s="939" t="n"/>
      <c r="Q105" s="939" t="n"/>
      <c r="R105" s="939" t="n"/>
      <c r="S105" s="939" t="n"/>
      <c r="T105" s="939" t="n"/>
      <c r="U105" s="939" t="n"/>
      <c r="V105" s="939" t="n"/>
      <c r="W105" s="939" t="n"/>
      <c r="X105" s="939" t="n"/>
      <c r="Y105" s="939" t="n"/>
      <c r="Z105" s="939" t="n"/>
      <c r="AA105" s="939" t="n"/>
      <c r="AB105" s="939" t="n"/>
      <c r="AC105" s="939" t="n"/>
      <c r="AD105" s="939" t="n"/>
      <c r="AE105" s="939" t="n"/>
      <c r="AF105" s="939" t="n"/>
      <c r="AG105" s="939" t="n"/>
      <c r="AH105" s="939" t="n"/>
      <c r="AI105" s="939" t="n"/>
      <c r="AJ105" s="939" t="n"/>
      <c r="AK105" s="939" t="n"/>
      <c r="AL105" s="939" t="n"/>
      <c r="AM105" s="939" t="n"/>
      <c r="AN105" s="939" t="n"/>
      <c r="AO105" s="939" t="n"/>
      <c r="AP105" s="939" t="n"/>
      <c r="AQ105" s="939" t="n"/>
      <c r="AR105" s="939" t="n"/>
      <c r="AS105" s="939" t="n"/>
      <c r="AT105" s="939" t="n"/>
      <c r="AU105" s="939" t="n"/>
      <c r="AV105" s="939" t="n"/>
      <c r="AW105" s="1060" t="n"/>
      <c r="AX105" s="246" t="n"/>
      <c r="AY105" s="246" t="n"/>
      <c r="AZ105" s="246" t="n"/>
    </row>
    <row r="106" ht="10.5" customHeight="1">
      <c r="B106" s="1061" t="n"/>
      <c r="G106" s="1062" t="n"/>
      <c r="H106" s="1082" t="n"/>
      <c r="I106" s="939" t="n"/>
      <c r="J106" s="939" t="n"/>
      <c r="K106" s="939" t="n"/>
      <c r="L106" s="939" t="n"/>
      <c r="M106" s="939" t="n"/>
      <c r="N106" s="939" t="n"/>
      <c r="O106" s="939" t="n"/>
      <c r="P106" s="939" t="n"/>
      <c r="Q106" s="939" t="n"/>
      <c r="R106" s="939" t="n"/>
      <c r="S106" s="939" t="n"/>
      <c r="T106" s="939" t="n"/>
      <c r="U106" s="939" t="n"/>
      <c r="V106" s="939" t="n"/>
      <c r="W106" s="939" t="n"/>
      <c r="X106" s="939" t="n"/>
      <c r="Y106" s="939" t="n"/>
      <c r="Z106" s="939" t="n"/>
      <c r="AA106" s="939" t="n"/>
      <c r="AB106" s="939" t="n"/>
      <c r="AC106" s="939" t="n"/>
      <c r="AD106" s="939" t="n"/>
      <c r="AE106" s="939" t="n"/>
      <c r="AF106" s="939" t="n"/>
      <c r="AG106" s="939" t="n"/>
      <c r="AH106" s="939" t="n"/>
      <c r="AI106" s="939" t="n"/>
      <c r="AJ106" s="939" t="n"/>
      <c r="AK106" s="939" t="n"/>
      <c r="AL106" s="939" t="n"/>
      <c r="AM106" s="939" t="n"/>
      <c r="AN106" s="939" t="n"/>
      <c r="AO106" s="939" t="n"/>
      <c r="AP106" s="939" t="n"/>
      <c r="AQ106" s="939" t="n"/>
      <c r="AR106" s="939" t="n"/>
      <c r="AS106" s="939" t="n"/>
      <c r="AT106" s="939" t="n"/>
      <c r="AU106" s="939" t="n"/>
      <c r="AV106" s="939" t="n"/>
      <c r="AW106" s="1060" t="n"/>
      <c r="AX106" s="246" t="n"/>
      <c r="AY106" s="246" t="n"/>
    </row>
    <row r="107" ht="10.5" customHeight="1">
      <c r="B107" s="1054" t="n"/>
      <c r="C107" s="1055" t="n"/>
      <c r="D107" s="1055" t="n"/>
      <c r="E107" s="1055" t="n"/>
      <c r="F107" s="1055" t="n"/>
      <c r="G107" s="1056" t="n"/>
      <c r="H107" s="1051" t="n"/>
      <c r="I107" s="1052" t="n"/>
      <c r="J107" s="1052" t="n"/>
      <c r="K107" s="1052" t="n"/>
      <c r="L107" s="1052" t="n"/>
      <c r="M107" s="1052" t="n"/>
      <c r="N107" s="1052" t="n"/>
      <c r="O107" s="1052" t="n"/>
      <c r="P107" s="1052" t="n"/>
      <c r="Q107" s="1052" t="n"/>
      <c r="R107" s="1052" t="n"/>
      <c r="S107" s="1052" t="n"/>
      <c r="T107" s="1052" t="n"/>
      <c r="U107" s="1052" t="n"/>
      <c r="V107" s="1052" t="n"/>
      <c r="W107" s="1052" t="n"/>
      <c r="X107" s="1052" t="n"/>
      <c r="Y107" s="1052" t="n"/>
      <c r="Z107" s="1052" t="n"/>
      <c r="AA107" s="1052" t="n"/>
      <c r="AB107" s="1052" t="n"/>
      <c r="AC107" s="1052" t="n"/>
      <c r="AD107" s="1052" t="n"/>
      <c r="AE107" s="1052" t="n"/>
      <c r="AF107" s="1052" t="n"/>
      <c r="AG107" s="1052" t="n"/>
      <c r="AH107" s="1052" t="n"/>
      <c r="AI107" s="1052" t="n"/>
      <c r="AJ107" s="1052" t="n"/>
      <c r="AK107" s="1052" t="n"/>
      <c r="AL107" s="1052" t="n"/>
      <c r="AM107" s="1052" t="n"/>
      <c r="AN107" s="1052" t="n"/>
      <c r="AO107" s="1052" t="n"/>
      <c r="AP107" s="1052" t="n"/>
      <c r="AQ107" s="1052" t="n"/>
      <c r="AR107" s="1052" t="n"/>
      <c r="AS107" s="1052" t="n"/>
      <c r="AT107" s="1052" t="n"/>
      <c r="AU107" s="1052" t="n"/>
      <c r="AV107" s="1052" t="n"/>
      <c r="AW107" s="1053" t="n"/>
      <c r="AX107" s="246" t="n"/>
      <c r="AY107" s="246" t="n"/>
    </row>
    <row r="108" ht="10.5" customHeight="1">
      <c r="B108" s="246" t="n"/>
      <c r="C108" s="246" t="n"/>
      <c r="D108" s="246" t="n"/>
      <c r="E108" s="246" t="n"/>
      <c r="F108" s="246" t="n"/>
      <c r="G108" s="246" t="n"/>
      <c r="H108" s="246" t="n"/>
      <c r="I108" s="246" t="n"/>
      <c r="J108" s="246" t="n"/>
      <c r="K108" s="246" t="n"/>
      <c r="L108" s="246" t="n"/>
      <c r="M108" s="246" t="n"/>
      <c r="N108" s="246" t="n"/>
      <c r="O108" s="246" t="n"/>
      <c r="P108" s="246" t="n"/>
      <c r="Q108" s="246" t="n"/>
      <c r="R108" s="246" t="n"/>
      <c r="S108" s="246" t="n"/>
      <c r="T108" s="246" t="n"/>
      <c r="U108" s="246" t="n"/>
      <c r="V108" s="246" t="n"/>
      <c r="W108" s="246" t="n"/>
      <c r="X108" s="246" t="n"/>
      <c r="Y108" s="246" t="n"/>
      <c r="Z108" s="246" t="n"/>
      <c r="AA108" s="246" t="n"/>
      <c r="AB108" s="246" t="n"/>
      <c r="AC108" s="246" t="n"/>
      <c r="AD108" s="246" t="n"/>
      <c r="AE108" s="246" t="n"/>
      <c r="AF108" s="246" t="n"/>
      <c r="AG108" s="246" t="n"/>
      <c r="AH108" s="246" t="n"/>
      <c r="AI108" s="246" t="n"/>
      <c r="AJ108" s="246" t="n"/>
      <c r="AK108" s="246" t="n"/>
      <c r="AL108" s="246" t="n"/>
      <c r="AM108" s="246" t="n"/>
      <c r="AN108" s="246" t="n"/>
      <c r="AO108" s="246" t="n"/>
      <c r="AP108" s="246" t="n"/>
      <c r="AQ108" s="246" t="n"/>
      <c r="AR108" s="246" t="n"/>
      <c r="AS108" s="246" t="n"/>
      <c r="AT108" s="246" t="n"/>
      <c r="AU108" s="246" t="n"/>
      <c r="AV108" s="246" t="n"/>
      <c r="AW108" s="246" t="n"/>
    </row>
    <row r="109" ht="13.5" customHeight="1">
      <c r="B109" s="246" t="n"/>
      <c r="C109" s="246" t="n"/>
      <c r="D109" s="246" t="n"/>
      <c r="E109" s="246" t="n"/>
      <c r="F109" s="246" t="n"/>
      <c r="G109" s="246" t="n"/>
      <c r="H109" s="246" t="n"/>
      <c r="I109" s="246" t="n"/>
      <c r="J109" s="246" t="n"/>
      <c r="K109" s="246" t="n"/>
      <c r="L109" s="246" t="n"/>
      <c r="M109" s="246" t="n"/>
      <c r="N109" s="246" t="n"/>
      <c r="O109" s="246" t="n"/>
      <c r="P109" s="246" t="n"/>
      <c r="Q109" s="246" t="n"/>
      <c r="R109" s="246" t="n"/>
      <c r="S109" s="246" t="n"/>
      <c r="T109" s="246" t="n"/>
      <c r="U109" s="246" t="n"/>
      <c r="V109" s="246" t="n"/>
      <c r="W109" s="246" t="n"/>
      <c r="X109" s="246" t="n"/>
      <c r="Y109" s="246" t="n"/>
      <c r="Z109" s="246" t="n"/>
      <c r="AA109" s="246" t="n"/>
      <c r="AB109" s="246" t="n"/>
      <c r="AC109" s="246" t="n"/>
      <c r="AD109" s="246" t="n"/>
      <c r="AE109" s="246" t="n"/>
      <c r="AF109" s="246" t="n"/>
      <c r="AG109" s="246" t="n"/>
      <c r="AH109" s="246" t="n"/>
      <c r="AI109" s="246" t="n"/>
      <c r="AJ109" s="246" t="n"/>
      <c r="AK109" s="246" t="n"/>
      <c r="AL109" s="246" t="n"/>
      <c r="AM109" s="246" t="n"/>
      <c r="AN109" s="246" t="n"/>
      <c r="AO109" s="246" t="n"/>
      <c r="AP109" s="246" t="n"/>
      <c r="AQ109" s="246" t="n"/>
      <c r="AR109" s="246" t="n"/>
      <c r="AS109" s="246" t="n"/>
      <c r="AT109" s="246" t="n"/>
      <c r="AU109" s="246" t="n"/>
      <c r="AV109" s="246" t="n"/>
      <c r="AW109" s="246" t="n"/>
    </row>
    <row r="110" ht="13.5" customHeight="1">
      <c r="B110" s="246" t="n"/>
      <c r="C110" s="246" t="n"/>
      <c r="D110" s="246" t="n"/>
      <c r="E110" s="246" t="n"/>
      <c r="F110" s="246" t="n"/>
      <c r="G110" s="246" t="n"/>
      <c r="H110" s="246" t="n"/>
      <c r="I110" s="246" t="n"/>
      <c r="J110" s="246" t="n"/>
      <c r="K110" s="246" t="n"/>
      <c r="L110" s="246" t="n"/>
      <c r="M110" s="246" t="n"/>
      <c r="N110" s="246" t="n"/>
      <c r="O110" s="246" t="n"/>
      <c r="P110" s="246" t="n"/>
      <c r="Q110" s="246" t="n"/>
      <c r="R110" s="246" t="n"/>
      <c r="S110" s="246" t="n"/>
      <c r="T110" s="246" t="n"/>
      <c r="U110" s="246" t="n"/>
      <c r="V110" s="246" t="n"/>
      <c r="W110" s="246" t="n"/>
      <c r="X110" s="246" t="n"/>
      <c r="Y110" s="246" t="n"/>
      <c r="Z110" s="246" t="n"/>
      <c r="AA110" s="246" t="n"/>
      <c r="AB110" s="246" t="n"/>
      <c r="AC110" s="246" t="n"/>
      <c r="AD110" s="246" t="n"/>
      <c r="AE110" s="246" t="n"/>
      <c r="AF110" s="246" t="n"/>
      <c r="AG110" s="246" t="n"/>
      <c r="AH110" s="246" t="n"/>
      <c r="AI110" s="246" t="n"/>
      <c r="AJ110" s="246" t="n"/>
      <c r="AK110" s="246" t="n"/>
      <c r="AL110" s="246" t="n"/>
      <c r="AM110" s="246" t="n"/>
      <c r="AN110" s="246" t="n"/>
      <c r="AO110" s="246" t="n"/>
      <c r="AP110" s="246" t="n"/>
      <c r="AQ110" s="246" t="n"/>
      <c r="AR110" s="246" t="n"/>
      <c r="AS110" s="246" t="n"/>
      <c r="AT110" s="246" t="n"/>
      <c r="AU110" s="246" t="n"/>
      <c r="AV110" s="246" t="n"/>
      <c r="AW110" s="246" t="n"/>
    </row>
    <row r="111" ht="13.5" customHeight="1">
      <c r="B111" s="246" t="n"/>
      <c r="C111" s="246" t="n"/>
      <c r="D111" s="246" t="n"/>
      <c r="E111" s="246" t="n"/>
      <c r="F111" s="246" t="n"/>
      <c r="G111" s="246" t="n"/>
      <c r="H111" s="246" t="n"/>
      <c r="I111" s="246" t="n"/>
      <c r="J111" s="246" t="n"/>
      <c r="K111" s="246" t="n"/>
      <c r="L111" s="246" t="n"/>
      <c r="M111" s="246" t="n"/>
      <c r="N111" s="246" t="n"/>
      <c r="O111" s="246" t="n"/>
      <c r="P111" s="246" t="n"/>
      <c r="Q111" s="246" t="n"/>
      <c r="R111" s="246" t="n"/>
      <c r="S111" s="246" t="n"/>
      <c r="T111" s="246" t="n"/>
      <c r="U111" s="246" t="n"/>
      <c r="V111" s="246" t="n"/>
      <c r="W111" s="246" t="n"/>
      <c r="X111" s="246" t="n"/>
      <c r="Y111" s="246" t="n"/>
      <c r="Z111" s="246" t="n"/>
      <c r="AA111" s="246" t="n"/>
      <c r="AB111" s="246" t="n"/>
      <c r="AC111" s="246" t="n"/>
      <c r="AD111" s="246" t="n"/>
      <c r="AE111" s="246" t="n"/>
      <c r="AF111" s="246" t="n"/>
      <c r="AG111" s="246" t="n"/>
      <c r="AH111" s="246" t="n"/>
      <c r="AI111" s="246" t="n"/>
      <c r="AJ111" s="246" t="n"/>
      <c r="AK111" s="246" t="n"/>
      <c r="AL111" s="246" t="n"/>
      <c r="AM111" s="246" t="n"/>
      <c r="AN111" s="246" t="n"/>
      <c r="AO111" s="246" t="n"/>
      <c r="AP111" s="246" t="n"/>
      <c r="AQ111" s="246" t="n"/>
      <c r="AR111" s="246" t="n"/>
      <c r="AS111" s="246" t="n"/>
      <c r="AT111" s="246" t="n"/>
      <c r="AU111" s="246" t="n"/>
      <c r="AV111" s="246" t="n"/>
      <c r="AW111" s="246" t="n"/>
    </row>
    <row r="112" ht="13.5" customHeight="1">
      <c r="B112" s="246" t="n"/>
      <c r="C112" s="246" t="n"/>
      <c r="D112" s="246" t="n"/>
      <c r="E112" s="246" t="n"/>
      <c r="F112" s="246" t="n"/>
      <c r="G112" s="246" t="n"/>
      <c r="H112" s="246" t="n"/>
      <c r="I112" s="246" t="n"/>
      <c r="J112" s="246" t="n"/>
      <c r="K112" s="246" t="n"/>
      <c r="L112" s="246" t="n"/>
      <c r="M112" s="246" t="n"/>
      <c r="N112" s="246" t="n"/>
      <c r="O112" s="246" t="n"/>
      <c r="P112" s="246" t="n"/>
      <c r="Q112" s="246" t="n"/>
      <c r="R112" s="246" t="n"/>
      <c r="S112" s="246" t="n"/>
      <c r="T112" s="246" t="n"/>
      <c r="U112" s="246" t="n"/>
      <c r="V112" s="246" t="n"/>
      <c r="W112" s="246" t="n"/>
      <c r="X112" s="246" t="n"/>
      <c r="Y112" s="246" t="n"/>
      <c r="Z112" s="246" t="n"/>
      <c r="AA112" s="246" t="n"/>
      <c r="AB112" s="246" t="n"/>
      <c r="AC112" s="246" t="n"/>
      <c r="AD112" s="246" t="n"/>
      <c r="AE112" s="246" t="n"/>
      <c r="AF112" s="246" t="n"/>
      <c r="AG112" s="246" t="n"/>
      <c r="AH112" s="246" t="n"/>
      <c r="AI112" s="246" t="n"/>
      <c r="AJ112" s="246" t="n"/>
      <c r="AK112" s="246" t="n"/>
      <c r="AL112" s="246" t="n"/>
      <c r="AM112" s="246" t="n"/>
      <c r="AN112" s="246" t="n"/>
      <c r="AO112" s="246" t="n"/>
      <c r="AP112" s="246" t="n"/>
      <c r="AQ112" s="246" t="n"/>
      <c r="AR112" s="246" t="n"/>
      <c r="AS112" s="246" t="n"/>
      <c r="AT112" s="246" t="n"/>
      <c r="AU112" s="246" t="n"/>
      <c r="AV112" s="246" t="n"/>
      <c r="AW112" s="246" t="n"/>
    </row>
    <row r="113" ht="13.5" customHeight="1">
      <c r="D113" s="251" t="n"/>
      <c r="E113" s="251" t="n"/>
      <c r="F113" s="251" t="n"/>
      <c r="G113" s="251" t="n"/>
      <c r="H113" s="251" t="n"/>
      <c r="I113" s="251" t="n"/>
      <c r="J113" s="251" t="n"/>
      <c r="K113" s="251" t="n"/>
      <c r="AA113" s="251" t="n"/>
      <c r="AB113" s="251" t="n"/>
      <c r="AC113" s="251" t="n"/>
      <c r="AD113" s="251" t="n"/>
      <c r="AE113" s="281" t="n"/>
      <c r="AF113" s="281" t="n"/>
      <c r="AG113" s="281" t="n"/>
      <c r="AH113" s="281" t="n"/>
      <c r="AI113" s="281" t="n"/>
      <c r="AJ113" s="281" t="n"/>
      <c r="AK113" s="281" t="n"/>
      <c r="AL113" s="281" t="n"/>
      <c r="AM113" s="281" t="n"/>
      <c r="AN113" s="281" t="n"/>
      <c r="AO113" s="281" t="n"/>
      <c r="AP113" s="281" t="n"/>
      <c r="AQ113" s="281" t="n"/>
      <c r="AR113" s="281" t="n"/>
      <c r="AS113" s="281" t="n"/>
      <c r="AT113" s="281" t="n"/>
      <c r="AU113" s="281" t="n"/>
    </row>
    <row r="114" ht="13.5" customHeight="1">
      <c r="I114" s="251" t="n"/>
      <c r="J114" s="251" t="n"/>
      <c r="K114" s="251" t="n"/>
      <c r="L114" s="251" t="n"/>
      <c r="M114" s="251" t="n"/>
      <c r="N114" s="251" t="n"/>
      <c r="O114" s="251" t="n"/>
      <c r="P114" s="251" t="n"/>
      <c r="Q114" s="251" t="n"/>
      <c r="R114" s="251" t="n"/>
      <c r="S114" s="251" t="n"/>
      <c r="T114" s="251" t="n"/>
      <c r="U114" s="251" t="n"/>
      <c r="V114" s="251" t="n"/>
      <c r="W114" s="251" t="n"/>
      <c r="X114" s="251" t="n"/>
      <c r="Y114" s="251" t="n"/>
      <c r="Z114" s="251" t="n"/>
      <c r="AA114" s="251" t="n"/>
      <c r="AB114" s="251" t="n"/>
      <c r="AC114" s="251" t="n"/>
      <c r="AD114" s="251" t="n"/>
      <c r="AE114" s="282" t="n"/>
      <c r="AF114" s="282" t="n"/>
      <c r="AG114" s="282" t="n"/>
      <c r="AH114" s="282" t="n"/>
      <c r="AI114" s="282" t="n"/>
      <c r="AJ114" s="282" t="n"/>
    </row>
    <row r="115" ht="13.5" customHeight="1">
      <c r="I115" s="251" t="n"/>
      <c r="J115" s="251" t="n"/>
      <c r="K115" s="251" t="n"/>
      <c r="L115" s="251" t="n"/>
      <c r="M115" s="251" t="n"/>
      <c r="N115" s="251" t="n"/>
      <c r="O115" s="251" t="n"/>
      <c r="P115" s="251" t="n"/>
      <c r="Q115" s="251" t="n"/>
      <c r="R115" s="251" t="n"/>
      <c r="S115" s="251" t="n"/>
      <c r="T115" s="251" t="n"/>
      <c r="U115" s="251" t="n"/>
      <c r="V115" s="251" t="n"/>
      <c r="W115" s="251" t="n"/>
      <c r="X115" s="251" t="n"/>
      <c r="Y115" s="251" t="n"/>
      <c r="Z115" s="251" t="n"/>
      <c r="AA115" s="251" t="n"/>
      <c r="AB115" s="251" t="n"/>
      <c r="AC115" s="251" t="n"/>
      <c r="AD115" s="251" t="n"/>
      <c r="AE115" s="282" t="n"/>
      <c r="AF115" s="282" t="n"/>
      <c r="AG115" s="282" t="n"/>
      <c r="AH115" s="282" t="n"/>
      <c r="AI115" s="282" t="n"/>
      <c r="AJ115" s="282" t="n"/>
    </row>
    <row r="116" ht="13.5" customHeight="1">
      <c r="D116" s="251" t="n"/>
      <c r="E116" s="251" t="n"/>
      <c r="F116" s="251" t="n"/>
      <c r="G116" s="251" t="n"/>
      <c r="H116" s="251" t="n"/>
      <c r="I116" s="251" t="n"/>
      <c r="J116" s="251" t="n"/>
      <c r="K116" s="251" t="n"/>
      <c r="AA116" s="251" t="n"/>
      <c r="AB116" s="251" t="n"/>
      <c r="AC116" s="251" t="n"/>
      <c r="AD116" s="251" t="n"/>
      <c r="AE116" s="281" t="n"/>
      <c r="AF116" s="281" t="n"/>
      <c r="AG116" s="281" t="n"/>
      <c r="AH116" s="281" t="n"/>
      <c r="AI116" s="281" t="n"/>
      <c r="AJ116" s="281" t="n"/>
      <c r="AK116" s="281" t="n"/>
      <c r="AL116" s="281" t="n"/>
      <c r="AM116" s="281" t="n"/>
      <c r="AN116" s="281" t="n"/>
      <c r="AO116" s="281" t="n"/>
      <c r="AP116" s="281" t="n"/>
      <c r="AQ116" s="281" t="n"/>
      <c r="AR116" s="281" t="n"/>
      <c r="AS116" s="281" t="n"/>
      <c r="AT116" s="281" t="n"/>
      <c r="AU116" s="281" t="n"/>
    </row>
    <row r="117" ht="13.5" customHeight="1">
      <c r="D117" s="251" t="n"/>
      <c r="E117" s="251" t="n"/>
      <c r="F117" s="251" t="n"/>
      <c r="G117" s="251" t="n"/>
      <c r="H117" s="251" t="n"/>
      <c r="I117" s="251" t="n"/>
      <c r="J117" s="251" t="n"/>
      <c r="K117" s="251" t="n"/>
      <c r="AA117" s="251" t="n"/>
      <c r="AB117" s="251" t="n"/>
      <c r="AC117" s="251" t="n"/>
      <c r="AD117" s="251" t="n"/>
      <c r="AE117" s="281" t="n"/>
      <c r="AF117" s="281" t="n"/>
      <c r="AG117" s="281" t="n"/>
      <c r="AH117" s="281" t="n"/>
      <c r="AI117" s="281" t="n"/>
      <c r="AJ117" s="281" t="n"/>
      <c r="AK117" s="281" t="n"/>
      <c r="AL117" s="281" t="n"/>
      <c r="AM117" s="281" t="n"/>
      <c r="AN117" s="281" t="n"/>
      <c r="AO117" s="281" t="n"/>
      <c r="AP117" s="281" t="n"/>
      <c r="AQ117" s="281" t="n"/>
      <c r="AR117" s="281" t="n"/>
      <c r="AS117" s="281" t="n"/>
      <c r="AT117" s="281" t="n"/>
      <c r="AU117" s="281" t="n"/>
    </row>
  </sheetData>
  <mergeCells count="295">
    <mergeCell ref="AG50:AJ51"/>
    <mergeCell ref="D40:G41"/>
    <mergeCell ref="AP80:AU81"/>
    <mergeCell ref="T90:V91"/>
    <mergeCell ref="U56:V57"/>
    <mergeCell ref="D27:G28"/>
    <mergeCell ref="T60:U61"/>
    <mergeCell ref="Y62:AK63"/>
    <mergeCell ref="N73:R74"/>
    <mergeCell ref="AQ42:AU43"/>
    <mergeCell ref="AM56:AP57"/>
    <mergeCell ref="B23:C30"/>
    <mergeCell ref="D17:G18"/>
    <mergeCell ref="H32:AW33"/>
    <mergeCell ref="L80:Q81"/>
    <mergeCell ref="M36:Z37"/>
    <mergeCell ref="AG71:AH72"/>
    <mergeCell ref="AE84:AI85"/>
    <mergeCell ref="H34:H35"/>
    <mergeCell ref="AA56:AB57"/>
    <mergeCell ref="AC56:AD57"/>
    <mergeCell ref="D65:G70"/>
    <mergeCell ref="X92:AW93"/>
    <mergeCell ref="V34:V35"/>
    <mergeCell ref="I56:L57"/>
    <mergeCell ref="Z96:AC97"/>
    <mergeCell ref="L96:S97"/>
    <mergeCell ref="T86:U87"/>
    <mergeCell ref="K42:AA43"/>
    <mergeCell ref="AP96:AU97"/>
    <mergeCell ref="AN73:AU74"/>
    <mergeCell ref="W56:Z57"/>
    <mergeCell ref="AC36:AG37"/>
    <mergeCell ref="H67:R68"/>
    <mergeCell ref="I73:L74"/>
    <mergeCell ref="B11:G12"/>
    <mergeCell ref="S73:U74"/>
    <mergeCell ref="H25:AW26"/>
    <mergeCell ref="H80:K81"/>
    <mergeCell ref="AJ94:AK95"/>
    <mergeCell ref="AI71:AL72"/>
    <mergeCell ref="T80:V81"/>
    <mergeCell ref="AE94:AI95"/>
    <mergeCell ref="AR34:AW35"/>
    <mergeCell ref="L82:S83"/>
    <mergeCell ref="M58:N59"/>
    <mergeCell ref="AI34:AJ35"/>
    <mergeCell ref="AH73:AM74"/>
    <mergeCell ref="AJ84:AK85"/>
    <mergeCell ref="AM23:AW24"/>
    <mergeCell ref="D29:G30"/>
    <mergeCell ref="AP84:AU85"/>
    <mergeCell ref="AA60:AC61"/>
    <mergeCell ref="I34:L35"/>
    <mergeCell ref="W58:Z59"/>
    <mergeCell ref="AJ86:AK87"/>
    <mergeCell ref="AD86:AI87"/>
    <mergeCell ref="AL84:AO85"/>
    <mergeCell ref="AP90:AU91"/>
    <mergeCell ref="H100:Y101"/>
    <mergeCell ref="AW52:AW53"/>
    <mergeCell ref="R90:S91"/>
    <mergeCell ref="S67:T68"/>
    <mergeCell ref="AT11:AW12"/>
    <mergeCell ref="AC58:AD59"/>
    <mergeCell ref="L84:Q85"/>
    <mergeCell ref="D23:G24"/>
    <mergeCell ref="AD98:AW99"/>
    <mergeCell ref="AL94:AO95"/>
    <mergeCell ref="I60:K61"/>
    <mergeCell ref="B78:C97"/>
    <mergeCell ref="V73:AE74"/>
    <mergeCell ref="Y84:Z85"/>
    <mergeCell ref="D75:K76"/>
    <mergeCell ref="M34:M35"/>
    <mergeCell ref="W94:X95"/>
    <mergeCell ref="AA36:AB37"/>
    <mergeCell ref="Y94:Z95"/>
    <mergeCell ref="D46:G47"/>
    <mergeCell ref="AN13:AS14"/>
    <mergeCell ref="AL86:AO87"/>
    <mergeCell ref="B32:C49"/>
    <mergeCell ref="AN2:AO3"/>
    <mergeCell ref="AL80:AO81"/>
    <mergeCell ref="AP2:AQ3"/>
    <mergeCell ref="W62:X63"/>
    <mergeCell ref="H103:AW107"/>
    <mergeCell ref="L60:M61"/>
    <mergeCell ref="V54:AI55"/>
    <mergeCell ref="AE58:AH59"/>
    <mergeCell ref="AM15:AW16"/>
    <mergeCell ref="N60:O61"/>
    <mergeCell ref="D48:G49"/>
    <mergeCell ref="AK34:AO35"/>
    <mergeCell ref="AG52:AJ53"/>
    <mergeCell ref="AK56:AL57"/>
    <mergeCell ref="AI56:AJ57"/>
    <mergeCell ref="T71:W72"/>
    <mergeCell ref="AA84:AD85"/>
    <mergeCell ref="AR2:AS3"/>
    <mergeCell ref="H48:AW49"/>
    <mergeCell ref="Y80:Z81"/>
    <mergeCell ref="AT2:AU3"/>
    <mergeCell ref="U11:Z12"/>
    <mergeCell ref="AB40:AW41"/>
    <mergeCell ref="L86:S87"/>
    <mergeCell ref="B103:G107"/>
    <mergeCell ref="AD60:AF61"/>
    <mergeCell ref="H84:K85"/>
    <mergeCell ref="AL96:AO97"/>
    <mergeCell ref="AD100:AW101"/>
    <mergeCell ref="S56:T57"/>
    <mergeCell ref="AJ90:AK91"/>
    <mergeCell ref="A5:AX8"/>
    <mergeCell ref="Z98:AC99"/>
    <mergeCell ref="AM67:AU68"/>
    <mergeCell ref="H86:K87"/>
    <mergeCell ref="AV80:AW81"/>
    <mergeCell ref="U13:Z14"/>
    <mergeCell ref="B65:C76"/>
    <mergeCell ref="AA38:AB39"/>
    <mergeCell ref="L62:S63"/>
    <mergeCell ref="V86:Y87"/>
    <mergeCell ref="AQ56:AR57"/>
    <mergeCell ref="H98:Y99"/>
    <mergeCell ref="AH2:AJ3"/>
    <mergeCell ref="R94:S95"/>
    <mergeCell ref="AM69:AU70"/>
    <mergeCell ref="D78:G87"/>
    <mergeCell ref="AA58:AB59"/>
    <mergeCell ref="AN11:AS12"/>
    <mergeCell ref="H17:AW18"/>
    <mergeCell ref="AV42:AW43"/>
    <mergeCell ref="S58:T59"/>
    <mergeCell ref="AO60:AO61"/>
    <mergeCell ref="AB42:AE43"/>
    <mergeCell ref="H78:K79"/>
    <mergeCell ref="AI23:AL24"/>
    <mergeCell ref="Z86:AC87"/>
    <mergeCell ref="AL90:AO91"/>
    <mergeCell ref="T94:V95"/>
    <mergeCell ref="H54:Q55"/>
    <mergeCell ref="AI19:AL20"/>
    <mergeCell ref="H27:AH28"/>
    <mergeCell ref="L90:Q91"/>
    <mergeCell ref="AK2:AM3"/>
    <mergeCell ref="AV96:AW97"/>
    <mergeCell ref="AK60:AL61"/>
    <mergeCell ref="AA90:AD91"/>
    <mergeCell ref="AM60:AN61"/>
    <mergeCell ref="H36:L37"/>
    <mergeCell ref="B50:C61"/>
    <mergeCell ref="AM52:AM53"/>
    <mergeCell ref="H56:H57"/>
    <mergeCell ref="V96:Y97"/>
    <mergeCell ref="X71:AF72"/>
    <mergeCell ref="H58:H59"/>
    <mergeCell ref="R71:S72"/>
    <mergeCell ref="D32:G33"/>
    <mergeCell ref="H50:AF51"/>
    <mergeCell ref="H88:K89"/>
    <mergeCell ref="AF42:AJ43"/>
    <mergeCell ref="AJ80:AK81"/>
    <mergeCell ref="H60:H61"/>
    <mergeCell ref="T88:W89"/>
    <mergeCell ref="AH36:AU37"/>
    <mergeCell ref="AE80:AI81"/>
    <mergeCell ref="H52:AF53"/>
    <mergeCell ref="AM71:AU72"/>
    <mergeCell ref="U65:AL66"/>
    <mergeCell ref="H90:K91"/>
    <mergeCell ref="W84:X85"/>
    <mergeCell ref="M56:N57"/>
    <mergeCell ref="AK50:AW51"/>
    <mergeCell ref="AK42:AL43"/>
    <mergeCell ref="B15:C22"/>
    <mergeCell ref="D56:G59"/>
    <mergeCell ref="AA80:AD81"/>
    <mergeCell ref="D34:G35"/>
    <mergeCell ref="H29:AW30"/>
    <mergeCell ref="V60:Y61"/>
    <mergeCell ref="W34:AD35"/>
    <mergeCell ref="Z60:Z61"/>
    <mergeCell ref="AE34:AH35"/>
    <mergeCell ref="AR60:AR61"/>
    <mergeCell ref="AJ96:AK97"/>
    <mergeCell ref="AP58:AQ59"/>
    <mergeCell ref="R60:S61"/>
    <mergeCell ref="R84:S85"/>
    <mergeCell ref="X40:AA41"/>
    <mergeCell ref="D19:G20"/>
    <mergeCell ref="L78:S79"/>
    <mergeCell ref="AV90:AW91"/>
    <mergeCell ref="AP60:AQ61"/>
    <mergeCell ref="D60:G61"/>
    <mergeCell ref="AA11:AM12"/>
    <mergeCell ref="T84:V85"/>
    <mergeCell ref="AV58:AW59"/>
    <mergeCell ref="D100:G101"/>
    <mergeCell ref="AM42:AP43"/>
    <mergeCell ref="X78:AW79"/>
    <mergeCell ref="AV67:AW68"/>
    <mergeCell ref="AA13:AM14"/>
    <mergeCell ref="R80:S81"/>
    <mergeCell ref="D50:G51"/>
    <mergeCell ref="L92:S93"/>
    <mergeCell ref="D44:G45"/>
    <mergeCell ref="AI15:AL16"/>
    <mergeCell ref="H82:K83"/>
    <mergeCell ref="AP34:AQ35"/>
    <mergeCell ref="AR58:AU59"/>
    <mergeCell ref="L88:S89"/>
    <mergeCell ref="B62:K63"/>
    <mergeCell ref="AV69:AW70"/>
    <mergeCell ref="U67:AL68"/>
    <mergeCell ref="AE56:AH57"/>
    <mergeCell ref="D52:G53"/>
    <mergeCell ref="T78:W79"/>
    <mergeCell ref="D21:G22"/>
    <mergeCell ref="H15:AH16"/>
    <mergeCell ref="AD96:AI97"/>
    <mergeCell ref="H73:H74"/>
    <mergeCell ref="AV84:AW85"/>
    <mergeCell ref="T82:W83"/>
    <mergeCell ref="D36:G37"/>
    <mergeCell ref="W90:X91"/>
    <mergeCell ref="O38:Z39"/>
    <mergeCell ref="U69:AL70"/>
    <mergeCell ref="H11:T12"/>
    <mergeCell ref="H40:W41"/>
    <mergeCell ref="AN54:AW55"/>
    <mergeCell ref="AV86:AW87"/>
    <mergeCell ref="AI27:AL28"/>
    <mergeCell ref="D88:G97"/>
    <mergeCell ref="Y90:Z91"/>
    <mergeCell ref="AM27:AW28"/>
    <mergeCell ref="N34:U35"/>
    <mergeCell ref="U58:V59"/>
    <mergeCell ref="Z100:AC101"/>
    <mergeCell ref="T92:W93"/>
    <mergeCell ref="T96:U97"/>
    <mergeCell ref="O56:R57"/>
    <mergeCell ref="H23:AH24"/>
    <mergeCell ref="T62:V63"/>
    <mergeCell ref="AV36:AW37"/>
    <mergeCell ref="AI58:AJ59"/>
    <mergeCell ref="H94:K95"/>
    <mergeCell ref="AS60:AU61"/>
    <mergeCell ref="AK52:AL53"/>
    <mergeCell ref="R54:U55"/>
    <mergeCell ref="X88:AW89"/>
    <mergeCell ref="I58:L59"/>
    <mergeCell ref="D15:G16"/>
    <mergeCell ref="D71:G72"/>
    <mergeCell ref="AG60:AH61"/>
    <mergeCell ref="D38:N39"/>
    <mergeCell ref="AI60:AJ61"/>
    <mergeCell ref="H44:AW45"/>
    <mergeCell ref="H13:T14"/>
    <mergeCell ref="D25:G26"/>
    <mergeCell ref="AV65:AW66"/>
    <mergeCell ref="H71:Q72"/>
    <mergeCell ref="AV94:AW95"/>
    <mergeCell ref="AF73:AG74"/>
    <mergeCell ref="H96:K97"/>
    <mergeCell ref="D42:J43"/>
    <mergeCell ref="B13:G14"/>
    <mergeCell ref="D73:G74"/>
    <mergeCell ref="O58:R59"/>
    <mergeCell ref="AL62:AW63"/>
    <mergeCell ref="AV71:AW72"/>
    <mergeCell ref="H21:AW22"/>
    <mergeCell ref="AJ54:AM55"/>
    <mergeCell ref="P60:Q61"/>
    <mergeCell ref="W80:X81"/>
    <mergeCell ref="D54:G55"/>
    <mergeCell ref="AP94:AU95"/>
    <mergeCell ref="H92:K93"/>
    <mergeCell ref="AP86:AU87"/>
    <mergeCell ref="AE90:AI91"/>
    <mergeCell ref="AV2:AW3"/>
    <mergeCell ref="AT13:AW14"/>
    <mergeCell ref="AV73:AW74"/>
    <mergeCell ref="D98:G99"/>
    <mergeCell ref="AM19:AW20"/>
    <mergeCell ref="L75:AW76"/>
    <mergeCell ref="H46:AW47"/>
    <mergeCell ref="X82:AW83"/>
    <mergeCell ref="AA94:AD95"/>
    <mergeCell ref="AN52:AV53"/>
    <mergeCell ref="H19:AH20"/>
    <mergeCell ref="L94:Q95"/>
    <mergeCell ref="B98:C101"/>
    <mergeCell ref="M73:M74"/>
    <mergeCell ref="AM65:AU66"/>
  </mergeCells>
  <dataValidations count="9">
    <dataValidation sqref="AT11:AW12" showDropDown="0" showInputMessage="1" showErrorMessage="1" allowBlank="1" type="list">
      <formula1>"売買,交換"</formula1>
    </dataValidation>
    <dataValidation sqref="AT13:AW14" showDropDown="0" showInputMessage="1" showErrorMessage="1" allowBlank="1" type="list" errorStyle="warning">
      <formula1>"媒介,代理,売主,買主"</formula1>
    </dataValidation>
    <dataValidation sqref="H34:H35 H56:H61 H73:H74 M34:M35 M73:M74 V34:V35 AR60:AR61" showDropDown="0" showInputMessage="1" showErrorMessage="1" allowBlank="1" type="list">
      <formula1>"□,■"</formula1>
    </dataValidation>
    <dataValidation sqref="AK52:AL53" showDropDown="0" showInputMessage="1" showErrorMessage="1" allowBlank="1" type="list">
      <formula1>"有,無"</formula1>
    </dataValidation>
    <dataValidation sqref="AA60:AC61" showDropDown="0" showInputMessage="1" showErrorMessage="1" allowBlank="1" type="list">
      <formula1>"増築,改築"</formula1>
    </dataValidation>
    <dataValidation sqref="H11:T12" showDropDown="0" showInputMessage="1" showErrorMessage="1" allowBlank="1" type="list" errorStyle="warning">
      <formula1>"土地売買,土地建物（中古）売買,土地建物（新築）売買,借地権付建物（中古）売買,借地権付建物（新築）売買"</formula1>
    </dataValidation>
    <dataValidation sqref="AH2:AJ3" showDropDown="0" showInputMessage="1" showErrorMessage="1" allowBlank="1" type="list" errorStyle="warning">
      <formula1>"平成,令和,西暦"</formula1>
    </dataValidation>
    <dataValidation sqref="I60:K61 AD60:AF61" showDropDown="0" showInputMessage="1" showErrorMessage="1" allowBlank="1" type="list" errorStyle="warning">
      <formula1>"昭和,平成,令和"</formula1>
    </dataValidation>
    <dataValidation sqref="AK34:AO35 AR34:AW35" showDropDown="0" showInputMessage="1" showErrorMessage="1" allowBlank="1" type="list">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 right="0.4724409448818898" top="0.3937007874015748" bottom="0.3937007874015748" header="0.1968503937007874" footer="0.1968503937007874"/>
  <pageSetup orientation="portrait" paperSize="9" scale="69" blackAndWhite="1"/>
  <headerFooter alignWithMargins="0">
    <oddHeader/>
    <oddFooter>&amp;R&amp;"ＭＳ Ｐゴシック,標準"&amp;K000000733-1.取引成立台帳（土地、土地建物、借地権付建物売買）_x000a_（公社）全日本不動産協会 '2112</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tabColor rgb="FF92D050"/>
    <outlinePr summaryBelow="1" summaryRight="1"/>
    <pageSetUpPr/>
  </sheetPr>
  <dimension ref="A1:CT117"/>
  <sheetViews>
    <sheetView view="pageBreakPreview" zoomScale="75" zoomScaleNormal="125" zoomScaleSheetLayoutView="100" workbookViewId="0">
      <selection activeCell="H44" sqref="H44:AW49"/>
    </sheetView>
  </sheetViews>
  <sheetFormatPr baseColWidth="10" defaultColWidth="2.33203125" defaultRowHeight="13.5" customHeight="1"/>
  <cols>
    <col width="2.33203125" customWidth="1" style="244" min="1" max="2"/>
    <col width="2.33203125" customWidth="1" style="244" min="3" max="3"/>
    <col width="2.33203125" customWidth="1" style="244" min="4" max="49"/>
    <col width="2.33203125" customWidth="1" style="244" min="50" max="50"/>
    <col width="2.33203125" customWidth="1" style="245" min="51" max="51"/>
    <col width="2.33203125" customWidth="1" style="244" min="52" max="16384"/>
  </cols>
  <sheetData>
    <row r="1" ht="10.5" customHeight="1">
      <c r="A1" s="243" t="n"/>
      <c r="B1" s="243" t="n"/>
      <c r="C1" s="243" t="n"/>
      <c r="D1" s="243" t="n"/>
      <c r="E1" s="243" t="n"/>
      <c r="F1" s="243" t="n"/>
      <c r="G1" s="243" t="n"/>
      <c r="H1" s="243" t="n"/>
      <c r="I1" s="243" t="n"/>
      <c r="J1" s="243" t="n"/>
      <c r="K1" s="243" t="n"/>
      <c r="L1" s="243" t="n"/>
      <c r="M1" s="243" t="n"/>
      <c r="N1" s="243" t="n"/>
      <c r="O1" s="243" t="n"/>
      <c r="P1" s="243" t="n"/>
      <c r="Q1" s="243" t="n"/>
      <c r="R1" s="243" t="n"/>
      <c r="S1" s="243" t="n"/>
      <c r="T1" s="243" t="n"/>
      <c r="U1" s="243" t="n"/>
      <c r="V1" s="243" t="n"/>
      <c r="W1" s="243" t="n"/>
      <c r="X1" s="243" t="n"/>
      <c r="Y1" s="243" t="n"/>
      <c r="Z1" s="243" t="n"/>
      <c r="AA1" s="243" t="n"/>
      <c r="AB1" s="243" t="n"/>
      <c r="AC1" s="243" t="n"/>
      <c r="AD1" s="243" t="n"/>
      <c r="AE1" s="243" t="n"/>
      <c r="AF1" s="243" t="n"/>
      <c r="AG1" s="243" t="n"/>
      <c r="AH1" s="243" t="n"/>
      <c r="AI1" s="243" t="n"/>
      <c r="AJ1" s="243" t="n"/>
      <c r="AK1" s="243" t="n"/>
      <c r="AL1" s="243" t="n"/>
      <c r="AM1" s="243" t="n"/>
      <c r="AN1" s="243" t="n"/>
      <c r="AO1" s="243" t="n"/>
      <c r="AP1" s="243" t="n"/>
    </row>
    <row r="2" ht="10.5" customHeight="1">
      <c r="A2" s="246" t="n"/>
      <c r="B2" s="246" t="n"/>
      <c r="C2" s="246" t="n"/>
      <c r="D2" s="246" t="n"/>
      <c r="E2" s="246" t="n"/>
      <c r="F2" s="246" t="n"/>
      <c r="G2" s="246" t="n"/>
      <c r="H2" s="246" t="n"/>
      <c r="I2" s="246" t="n"/>
      <c r="J2" s="246" t="n"/>
      <c r="K2" s="246" t="n"/>
      <c r="L2" s="246" t="n"/>
      <c r="M2" s="246" t="n"/>
      <c r="N2" s="246" t="n"/>
      <c r="O2" s="246" t="n"/>
      <c r="P2" s="246" t="n"/>
      <c r="Q2" s="246" t="n"/>
      <c r="R2" s="246" t="n"/>
      <c r="S2" s="246" t="n"/>
      <c r="T2" s="246" t="n"/>
      <c r="U2" s="246" t="n"/>
      <c r="V2" s="246" t="n"/>
      <c r="W2" s="247" t="n"/>
      <c r="AD2" s="247" t="n"/>
      <c r="AE2" s="247" t="n"/>
      <c r="AF2" s="247" t="n"/>
      <c r="AG2" s="247" t="n"/>
      <c r="AH2" s="809" t="inlineStr">
        <is>
          <t>令和</t>
        </is>
      </c>
      <c r="AI2" s="939" t="n"/>
      <c r="AJ2" s="939" t="n"/>
      <c r="AK2" s="824" t="inlineStr">
        <is>
          <t>7</t>
        </is>
      </c>
      <c r="AL2" s="939" t="n"/>
      <c r="AM2" s="939" t="n"/>
      <c r="AN2" s="811" t="inlineStr">
        <is>
          <t>年</t>
        </is>
      </c>
      <c r="AP2" s="825" t="inlineStr">
        <is>
          <t>7</t>
        </is>
      </c>
      <c r="AQ2" s="939" t="n"/>
      <c r="AR2" s="811" t="inlineStr">
        <is>
          <t>月</t>
        </is>
      </c>
      <c r="AT2" s="825" t="inlineStr">
        <is>
          <t>25</t>
        </is>
      </c>
      <c r="AU2" s="939" t="n"/>
      <c r="AV2" s="811" t="inlineStr">
        <is>
          <t>日</t>
        </is>
      </c>
      <c r="AY2" s="244" t="n"/>
    </row>
    <row r="3" ht="10.5" customHeight="1">
      <c r="A3" s="246" t="n"/>
      <c r="B3" s="246" t="n"/>
      <c r="C3" s="246" t="n"/>
      <c r="D3" s="246" t="n"/>
      <c r="E3" s="246" t="n"/>
      <c r="F3" s="246" t="n"/>
      <c r="G3" s="246" t="n"/>
      <c r="H3" s="246" t="n"/>
      <c r="I3" s="246" t="n"/>
      <c r="J3" s="246" t="n"/>
      <c r="K3" s="246" t="n"/>
      <c r="L3" s="246" t="n"/>
      <c r="M3" s="246" t="n"/>
      <c r="N3" s="246" t="n"/>
      <c r="O3" s="246" t="n"/>
      <c r="P3" s="246" t="n"/>
      <c r="Q3" s="246" t="n"/>
      <c r="R3" s="246" t="n"/>
      <c r="S3" s="246" t="n"/>
      <c r="T3" s="246" t="n"/>
      <c r="U3" s="246" t="n"/>
      <c r="V3" s="246" t="n"/>
      <c r="W3" s="247" t="n"/>
      <c r="AD3" s="247" t="n"/>
      <c r="AE3" s="247" t="n"/>
      <c r="AF3" s="247" t="n"/>
      <c r="AG3" s="247" t="n"/>
      <c r="AH3" s="939" t="n"/>
      <c r="AI3" s="939" t="n"/>
      <c r="AJ3" s="939" t="n"/>
      <c r="AK3" s="939" t="n"/>
      <c r="AL3" s="939" t="n"/>
      <c r="AM3" s="939" t="n"/>
      <c r="AP3" s="939" t="n"/>
      <c r="AQ3" s="939" t="n"/>
      <c r="AT3" s="939" t="n"/>
      <c r="AU3" s="939" t="n"/>
      <c r="AY3" s="244" t="n"/>
    </row>
    <row r="4" ht="10.5" customHeight="1">
      <c r="B4" s="246" t="n"/>
      <c r="C4" s="246" t="n"/>
      <c r="D4" s="246" t="n"/>
      <c r="E4" s="246" t="n"/>
      <c r="F4" s="246" t="n"/>
      <c r="G4" s="246" t="n"/>
      <c r="H4" s="246" t="n"/>
      <c r="I4" s="246" t="n"/>
      <c r="J4" s="246" t="n"/>
      <c r="K4" s="246" t="n"/>
      <c r="L4" s="246" t="n"/>
      <c r="M4" s="246" t="n"/>
      <c r="N4" s="246" t="n"/>
      <c r="O4" s="246" t="n"/>
      <c r="P4" s="246" t="n"/>
      <c r="Q4" s="246" t="n"/>
      <c r="R4" s="246" t="n"/>
      <c r="S4" s="246" t="n"/>
      <c r="T4" s="246" t="n"/>
      <c r="U4" s="246" t="n"/>
      <c r="V4" s="246" t="n"/>
      <c r="AC4" s="248" t="n"/>
      <c r="AD4" s="248" t="n"/>
      <c r="AE4" s="248" t="n"/>
      <c r="AF4" s="248" t="n"/>
      <c r="AG4" s="248" t="n"/>
      <c r="AH4" s="248" t="n"/>
      <c r="AI4" s="780" t="n"/>
      <c r="AJ4" s="780" t="n"/>
      <c r="AK4" s="780" t="n"/>
      <c r="AL4" s="780" t="n"/>
      <c r="AM4" s="248" t="n"/>
      <c r="AN4" s="248" t="n"/>
      <c r="AO4" s="248" t="n"/>
      <c r="AP4" s="248" t="n"/>
      <c r="AQ4" s="248" t="n"/>
      <c r="AR4" s="248" t="n"/>
      <c r="AS4" s="780" t="n"/>
      <c r="AT4" s="780" t="n"/>
      <c r="AU4" s="780" t="n"/>
      <c r="AV4" s="780" t="n"/>
      <c r="AY4" s="244" t="n"/>
      <c r="BR4" s="245" t="n"/>
    </row>
    <row r="5" ht="10.5" customHeight="1">
      <c r="A5" s="812" t="inlineStr">
        <is>
          <t>取引成立台帳（土地、土地建物、借地権付建物売買）</t>
        </is>
      </c>
    </row>
    <row r="6" ht="10.5" customHeight="1"/>
    <row r="7" ht="10.5" customHeight="1"/>
    <row r="8" ht="10.5" customHeight="1"/>
    <row r="9" ht="10.5" customHeight="1">
      <c r="A9" s="812" t="n"/>
      <c r="X9" s="251" t="n"/>
      <c r="Y9" s="251" t="n"/>
      <c r="Z9" s="251" t="n"/>
      <c r="AA9" s="251" t="n"/>
      <c r="AB9" s="251" t="n"/>
      <c r="AC9" s="251" t="n"/>
      <c r="AD9" s="251" t="n"/>
      <c r="AE9" s="251" t="n"/>
      <c r="AF9" s="252" t="n"/>
      <c r="AG9" s="252" t="n"/>
      <c r="AH9" s="252" t="n"/>
      <c r="AI9" s="252" t="n"/>
      <c r="AL9" s="252" t="n"/>
      <c r="AM9" s="252" t="n"/>
      <c r="AN9" s="252" t="n"/>
      <c r="AO9" s="252" t="n"/>
      <c r="AR9" s="252" t="n"/>
      <c r="AU9" s="252" t="n"/>
      <c r="AV9" s="252" t="n"/>
      <c r="AW9" s="253" t="n"/>
      <c r="AX9" s="251" t="n"/>
      <c r="AY9" s="244" t="n"/>
    </row>
    <row r="10" ht="10.5" customHeight="1">
      <c r="A10" s="812" t="n"/>
      <c r="X10" s="251" t="n"/>
      <c r="Y10" s="251" t="n"/>
      <c r="Z10" s="251" t="n"/>
      <c r="AA10" s="251" t="n"/>
      <c r="AB10" s="251" t="n"/>
      <c r="AC10" s="251" t="n"/>
      <c r="AD10" s="251" t="n"/>
      <c r="AE10" s="251" t="n"/>
      <c r="AF10" s="252" t="n"/>
      <c r="AG10" s="252" t="n"/>
      <c r="AH10" s="252" t="n"/>
      <c r="AI10" s="252" t="n"/>
      <c r="AL10" s="252" t="n"/>
      <c r="AM10" s="252" t="n"/>
      <c r="AN10" s="252" t="n"/>
      <c r="AO10" s="252" t="n"/>
      <c r="AR10" s="252" t="n"/>
      <c r="AU10" s="252" t="n"/>
      <c r="AV10" s="252" t="n"/>
      <c r="AW10" s="253" t="n"/>
      <c r="AX10" s="251" t="n"/>
      <c r="AY10" s="244" t="n"/>
    </row>
    <row r="11" ht="10.5" customHeight="1">
      <c r="A11" s="812" t="n"/>
      <c r="B11" s="793" t="inlineStr">
        <is>
          <t>物 件 区 分</t>
        </is>
      </c>
      <c r="C11" s="1039" t="n"/>
      <c r="D11" s="1039" t="n"/>
      <c r="E11" s="1039" t="n"/>
      <c r="F11" s="1039" t="n"/>
      <c r="G11" s="1040" t="n"/>
      <c r="H11" s="1041" t="inlineStr">
        <is>
          <t>土地建物（中古）売買</t>
        </is>
      </c>
      <c r="I11" s="1042" t="n"/>
      <c r="J11" s="1042" t="n"/>
      <c r="K11" s="1042" t="n"/>
      <c r="L11" s="1042" t="n"/>
      <c r="M11" s="1042" t="n"/>
      <c r="N11" s="1042" t="n"/>
      <c r="O11" s="1042" t="n"/>
      <c r="P11" s="1042" t="n"/>
      <c r="Q11" s="1042" t="n"/>
      <c r="R11" s="1042" t="n"/>
      <c r="S11" s="1042" t="n"/>
      <c r="T11" s="1043" t="n"/>
      <c r="U11" s="793" t="inlineStr">
        <is>
          <t>登録年月日</t>
        </is>
      </c>
      <c r="V11" s="1039" t="n"/>
      <c r="W11" s="1039" t="n"/>
      <c r="X11" s="1039" t="n"/>
      <c r="Y11" s="1039" t="n"/>
      <c r="Z11" s="1040" t="n"/>
      <c r="AA11" s="1044">
        <f>'②（土地・建物）事業収支シート'!H7</f>
        <v/>
      </c>
      <c r="AB11" s="1042" t="n"/>
      <c r="AC11" s="1042" t="n"/>
      <c r="AD11" s="1042" t="n"/>
      <c r="AE11" s="1042" t="n"/>
      <c r="AF11" s="1042" t="n"/>
      <c r="AG11" s="1042" t="n"/>
      <c r="AH11" s="1042" t="n"/>
      <c r="AI11" s="1042" t="n"/>
      <c r="AJ11" s="1042" t="n"/>
      <c r="AK11" s="1042" t="n"/>
      <c r="AL11" s="1042" t="n"/>
      <c r="AM11" s="1043" t="n"/>
      <c r="AN11" s="561" t="inlineStr">
        <is>
          <t>契約区分</t>
        </is>
      </c>
      <c r="AO11" s="1045" t="n"/>
      <c r="AP11" s="1045" t="n"/>
      <c r="AQ11" s="1045" t="n"/>
      <c r="AR11" s="1045" t="n"/>
      <c r="AS11" s="1046" t="n"/>
      <c r="AT11" s="1047" t="inlineStr">
        <is>
          <t>売買</t>
        </is>
      </c>
      <c r="AU11" s="1042" t="n"/>
      <c r="AV11" s="1042" t="n"/>
      <c r="AW11" s="1043" t="n"/>
      <c r="AX11" s="251" t="n"/>
      <c r="AY11" s="244" t="n"/>
    </row>
    <row r="12" ht="10.5" customHeight="1">
      <c r="A12" s="246" t="n"/>
      <c r="B12" s="1048" t="n"/>
      <c r="C12" s="1049" t="n"/>
      <c r="D12" s="1049" t="n"/>
      <c r="E12" s="1049" t="n"/>
      <c r="F12" s="1049" t="n"/>
      <c r="G12" s="1050" t="n"/>
      <c r="H12" s="1051" t="n"/>
      <c r="I12" s="1052" t="n"/>
      <c r="J12" s="1052" t="n"/>
      <c r="K12" s="1052" t="n"/>
      <c r="L12" s="1052" t="n"/>
      <c r="M12" s="1052" t="n"/>
      <c r="N12" s="1052" t="n"/>
      <c r="O12" s="1052" t="n"/>
      <c r="P12" s="1052" t="n"/>
      <c r="Q12" s="1052" t="n"/>
      <c r="R12" s="1052" t="n"/>
      <c r="S12" s="1052" t="n"/>
      <c r="T12" s="1053" t="n"/>
      <c r="U12" s="1048" t="n"/>
      <c r="V12" s="1049" t="n"/>
      <c r="W12" s="1049" t="n"/>
      <c r="X12" s="1049" t="n"/>
      <c r="Y12" s="1049" t="n"/>
      <c r="Z12" s="1050" t="n"/>
      <c r="AA12" s="1052" t="n"/>
      <c r="AB12" s="1052" t="n"/>
      <c r="AC12" s="1052" t="n"/>
      <c r="AD12" s="1052" t="n"/>
      <c r="AE12" s="1052" t="n"/>
      <c r="AF12" s="1052" t="n"/>
      <c r="AG12" s="1052" t="n"/>
      <c r="AH12" s="1052" t="n"/>
      <c r="AI12" s="1052" t="n"/>
      <c r="AJ12" s="1052" t="n"/>
      <c r="AK12" s="1052" t="n"/>
      <c r="AL12" s="1052" t="n"/>
      <c r="AM12" s="1053" t="n"/>
      <c r="AN12" s="1054" t="n"/>
      <c r="AO12" s="1055" t="n"/>
      <c r="AP12" s="1055" t="n"/>
      <c r="AQ12" s="1055" t="n"/>
      <c r="AR12" s="1055" t="n"/>
      <c r="AS12" s="1056" t="n"/>
      <c r="AT12" s="1051" t="n"/>
      <c r="AU12" s="1052" t="n"/>
      <c r="AV12" s="1052" t="n"/>
      <c r="AW12" s="1053" t="n"/>
      <c r="AX12" s="251" t="n"/>
      <c r="AY12" s="244" t="n"/>
    </row>
    <row r="13" ht="10.5" customHeight="1">
      <c r="A13" s="246" t="n"/>
      <c r="B13" s="793" t="inlineStr">
        <is>
          <t>成立年月日</t>
        </is>
      </c>
      <c r="C13" s="1039" t="n"/>
      <c r="D13" s="1039" t="n"/>
      <c r="E13" s="1039" t="n"/>
      <c r="F13" s="1039" t="n"/>
      <c r="G13" s="1040" t="n"/>
      <c r="H13" s="1057">
        <f>'②（土地・建物）事業収支シート'!K7</f>
        <v/>
      </c>
      <c r="I13" s="1042" t="n"/>
      <c r="J13" s="1042" t="n"/>
      <c r="K13" s="1042" t="n"/>
      <c r="L13" s="1042" t="n"/>
      <c r="M13" s="1042" t="n"/>
      <c r="N13" s="1042" t="n"/>
      <c r="O13" s="1042" t="n"/>
      <c r="P13" s="1042" t="n"/>
      <c r="Q13" s="1042" t="n"/>
      <c r="R13" s="1042" t="n"/>
      <c r="S13" s="1042" t="n"/>
      <c r="T13" s="1043" t="n"/>
      <c r="U13" s="793" t="inlineStr">
        <is>
          <t>引渡年月日</t>
        </is>
      </c>
      <c r="V13" s="1039" t="n"/>
      <c r="W13" s="1039" t="n"/>
      <c r="X13" s="1039" t="n"/>
      <c r="Y13" s="1039" t="n"/>
      <c r="Z13" s="1040" t="n"/>
      <c r="AA13" s="1058">
        <f>'②（土地・建物）事業収支シート'!K7</f>
        <v/>
      </c>
      <c r="AB13" s="1042" t="n"/>
      <c r="AC13" s="1042" t="n"/>
      <c r="AD13" s="1042" t="n"/>
      <c r="AE13" s="1042" t="n"/>
      <c r="AF13" s="1042" t="n"/>
      <c r="AG13" s="1042" t="n"/>
      <c r="AH13" s="1042" t="n"/>
      <c r="AI13" s="1042" t="n"/>
      <c r="AJ13" s="1042" t="n"/>
      <c r="AK13" s="1042" t="n"/>
      <c r="AL13" s="1042" t="n"/>
      <c r="AM13" s="1043" t="n"/>
      <c r="AN13" s="1059" t="inlineStr">
        <is>
          <t>取引態様</t>
        </is>
      </c>
      <c r="AO13" s="1045" t="n"/>
      <c r="AP13" s="1045" t="n"/>
      <c r="AQ13" s="1045" t="n"/>
      <c r="AR13" s="1045" t="n"/>
      <c r="AS13" s="1046" t="n"/>
      <c r="AT13" s="776" t="inlineStr">
        <is>
          <t>売主</t>
        </is>
      </c>
      <c r="AU13" s="1042" t="n"/>
      <c r="AV13" s="1042" t="n"/>
      <c r="AW13" s="1043" t="n"/>
      <c r="AY13" s="244" t="n"/>
    </row>
    <row r="14" ht="10.5" customHeight="1">
      <c r="A14" s="246" t="n"/>
      <c r="B14" s="1048" t="n"/>
      <c r="C14" s="1049" t="n"/>
      <c r="D14" s="1049" t="n"/>
      <c r="E14" s="1049" t="n"/>
      <c r="F14" s="1049" t="n"/>
      <c r="G14" s="1050" t="n"/>
      <c r="H14" s="1051" t="n"/>
      <c r="I14" s="1052" t="n"/>
      <c r="J14" s="1052" t="n"/>
      <c r="K14" s="1052" t="n"/>
      <c r="L14" s="1052" t="n"/>
      <c r="M14" s="1052" t="n"/>
      <c r="N14" s="1052" t="n"/>
      <c r="O14" s="1052" t="n"/>
      <c r="P14" s="1052" t="n"/>
      <c r="Q14" s="1052" t="n"/>
      <c r="R14" s="1052" t="n"/>
      <c r="S14" s="1052" t="n"/>
      <c r="T14" s="1053" t="n"/>
      <c r="U14" s="1048" t="n"/>
      <c r="V14" s="1049" t="n"/>
      <c r="W14" s="1049" t="n"/>
      <c r="X14" s="1049" t="n"/>
      <c r="Y14" s="1049" t="n"/>
      <c r="Z14" s="1050" t="n"/>
      <c r="AA14" s="939" t="n"/>
      <c r="AB14" s="939" t="n"/>
      <c r="AC14" s="939" t="n"/>
      <c r="AD14" s="939" t="n"/>
      <c r="AE14" s="939" t="n"/>
      <c r="AF14" s="939" t="n"/>
      <c r="AG14" s="939" t="n"/>
      <c r="AH14" s="939" t="n"/>
      <c r="AI14" s="939" t="n"/>
      <c r="AJ14" s="939" t="n"/>
      <c r="AK14" s="939" t="n"/>
      <c r="AL14" s="939" t="n"/>
      <c r="AM14" s="1060" t="n"/>
      <c r="AN14" s="1061" t="n"/>
      <c r="AS14" s="1062" t="n"/>
      <c r="AT14" s="939" t="n"/>
      <c r="AU14" s="939" t="n"/>
      <c r="AV14" s="939" t="n"/>
      <c r="AW14" s="1060" t="n"/>
      <c r="AY14" s="244" t="n"/>
    </row>
    <row r="15" ht="10.5" customHeight="1">
      <c r="A15" s="246" t="n"/>
      <c r="B15" s="1063" t="inlineStr">
        <is>
          <t>売 主</t>
        </is>
      </c>
      <c r="C15" s="1046" t="n"/>
      <c r="D15" s="561" t="inlineStr">
        <is>
          <t>氏  名</t>
        </is>
      </c>
      <c r="E15" s="1045" t="n"/>
      <c r="F15" s="1045" t="n"/>
      <c r="G15" s="1046" t="n"/>
      <c r="H15" s="767" t="inlineStr">
        <is>
          <t>株式会社B&amp;Sエステート</t>
        </is>
      </c>
      <c r="I15" s="1064" t="n"/>
      <c r="J15" s="1064" t="n"/>
      <c r="K15" s="1064" t="n"/>
      <c r="L15" s="1064" t="n"/>
      <c r="M15" s="1064" t="n"/>
      <c r="N15" s="1064" t="n"/>
      <c r="O15" s="1064" t="n"/>
      <c r="P15" s="1064" t="n"/>
      <c r="Q15" s="1064" t="n"/>
      <c r="R15" s="1064" t="n"/>
      <c r="S15" s="1064" t="n"/>
      <c r="T15" s="1064" t="n"/>
      <c r="U15" s="1064" t="n"/>
      <c r="V15" s="1064" t="n"/>
      <c r="W15" s="1064" t="n"/>
      <c r="X15" s="1064" t="n"/>
      <c r="Y15" s="1064" t="n"/>
      <c r="Z15" s="1064" t="n"/>
      <c r="AA15" s="1064" t="n"/>
      <c r="AB15" s="1064" t="n"/>
      <c r="AC15" s="1064" t="n"/>
      <c r="AD15" s="1064" t="n"/>
      <c r="AE15" s="1064" t="n"/>
      <c r="AF15" s="1064" t="n"/>
      <c r="AG15" s="1064" t="n"/>
      <c r="AH15" s="1065" t="n"/>
      <c r="AI15" s="785" t="inlineStr">
        <is>
          <t>TEL：</t>
        </is>
      </c>
      <c r="AJ15" s="1039" t="n"/>
      <c r="AK15" s="1039" t="n"/>
      <c r="AL15" s="1040" t="n"/>
      <c r="AM15" s="791" t="n"/>
      <c r="AN15" s="1064" t="n"/>
      <c r="AO15" s="1064" t="n"/>
      <c r="AP15" s="1064" t="n"/>
      <c r="AQ15" s="1064" t="n"/>
      <c r="AR15" s="1064" t="n"/>
      <c r="AS15" s="1064" t="n"/>
      <c r="AT15" s="1064" t="n"/>
      <c r="AU15" s="1064" t="n"/>
      <c r="AV15" s="1064" t="n"/>
      <c r="AW15" s="1065" t="n"/>
      <c r="AY15" s="244" t="n"/>
    </row>
    <row r="16" ht="10.5" customHeight="1">
      <c r="A16" s="246" t="n"/>
      <c r="B16" s="1061" t="n"/>
      <c r="C16" s="1062" t="n"/>
      <c r="D16" s="1054" t="n"/>
      <c r="E16" s="1055" t="n"/>
      <c r="F16" s="1055" t="n"/>
      <c r="G16" s="1056" t="n"/>
      <c r="H16" s="1066" t="n"/>
      <c r="I16" s="1067" t="n"/>
      <c r="J16" s="1067" t="n"/>
      <c r="K16" s="1067" t="n"/>
      <c r="L16" s="1067" t="n"/>
      <c r="M16" s="1067" t="n"/>
      <c r="N16" s="1067" t="n"/>
      <c r="O16" s="1067" t="n"/>
      <c r="P16" s="1067" t="n"/>
      <c r="Q16" s="1067" t="n"/>
      <c r="R16" s="1067" t="n"/>
      <c r="S16" s="1067" t="n"/>
      <c r="T16" s="1067" t="n"/>
      <c r="U16" s="1067" t="n"/>
      <c r="V16" s="1067" t="n"/>
      <c r="W16" s="1067" t="n"/>
      <c r="X16" s="1067" t="n"/>
      <c r="Y16" s="1067" t="n"/>
      <c r="Z16" s="1067" t="n"/>
      <c r="AA16" s="1067" t="n"/>
      <c r="AB16" s="1067" t="n"/>
      <c r="AC16" s="1067" t="n"/>
      <c r="AD16" s="1067" t="n"/>
      <c r="AE16" s="1067" t="n"/>
      <c r="AF16" s="1067" t="n"/>
      <c r="AG16" s="1067" t="n"/>
      <c r="AH16" s="1068" t="n"/>
      <c r="AI16" s="1049" t="n"/>
      <c r="AJ16" s="1049" t="n"/>
      <c r="AK16" s="1049" t="n"/>
      <c r="AL16" s="1050" t="n"/>
      <c r="AM16" s="1067" t="n"/>
      <c r="AN16" s="1067" t="n"/>
      <c r="AO16" s="1067" t="n"/>
      <c r="AP16" s="1067" t="n"/>
      <c r="AQ16" s="1067" t="n"/>
      <c r="AR16" s="1067" t="n"/>
      <c r="AS16" s="1067" t="n"/>
      <c r="AT16" s="1067" t="n"/>
      <c r="AU16" s="1067" t="n"/>
      <c r="AV16" s="1067" t="n"/>
      <c r="AW16" s="1068" t="n"/>
      <c r="AY16" s="244" t="n"/>
    </row>
    <row r="17" ht="10.5" customHeight="1">
      <c r="A17" s="246" t="n"/>
      <c r="B17" s="1061" t="n"/>
      <c r="C17" s="1062" t="n"/>
      <c r="D17" s="561" t="inlineStr">
        <is>
          <t>住  所</t>
        </is>
      </c>
      <c r="E17" s="1045" t="n"/>
      <c r="F17" s="1045" t="n"/>
      <c r="G17" s="1046" t="n"/>
      <c r="H17" s="828" t="inlineStr">
        <is>
          <t>埼玉県さいたま市大宮区宮町四丁目38番地4</t>
        </is>
      </c>
      <c r="I17" s="1064" t="n"/>
      <c r="J17" s="1064" t="n"/>
      <c r="K17" s="1064" t="n"/>
      <c r="L17" s="1064" t="n"/>
      <c r="M17" s="1064" t="n"/>
      <c r="N17" s="1064" t="n"/>
      <c r="O17" s="1064" t="n"/>
      <c r="P17" s="1064" t="n"/>
      <c r="Q17" s="1064" t="n"/>
      <c r="R17" s="1064" t="n"/>
      <c r="S17" s="1064" t="n"/>
      <c r="T17" s="1064" t="n"/>
      <c r="U17" s="1064" t="n"/>
      <c r="V17" s="1064" t="n"/>
      <c r="W17" s="1064" t="n"/>
      <c r="X17" s="1064" t="n"/>
      <c r="Y17" s="1064" t="n"/>
      <c r="Z17" s="1064" t="n"/>
      <c r="AA17" s="1064" t="n"/>
      <c r="AB17" s="1064" t="n"/>
      <c r="AC17" s="1064" t="n"/>
      <c r="AD17" s="1064" t="n"/>
      <c r="AE17" s="1064" t="n"/>
      <c r="AF17" s="1064" t="n"/>
      <c r="AG17" s="1064" t="n"/>
      <c r="AH17" s="1064" t="n"/>
      <c r="AI17" s="1064" t="n"/>
      <c r="AJ17" s="1064" t="n"/>
      <c r="AK17" s="1064" t="n"/>
      <c r="AL17" s="1064" t="n"/>
      <c r="AM17" s="1064" t="n"/>
      <c r="AN17" s="1064" t="n"/>
      <c r="AO17" s="1064" t="n"/>
      <c r="AP17" s="1064" t="n"/>
      <c r="AQ17" s="1064" t="n"/>
      <c r="AR17" s="1064" t="n"/>
      <c r="AS17" s="1064" t="n"/>
      <c r="AT17" s="1064" t="n"/>
      <c r="AU17" s="1064" t="n"/>
      <c r="AV17" s="1064" t="n"/>
      <c r="AW17" s="1065" t="n"/>
      <c r="AX17" s="251" t="n"/>
      <c r="AY17" s="251" t="n"/>
    </row>
    <row r="18" ht="10.5" customHeight="1">
      <c r="A18" s="246" t="n"/>
      <c r="B18" s="1061" t="n"/>
      <c r="C18" s="1062" t="n"/>
      <c r="D18" s="1054" t="n"/>
      <c r="E18" s="1055" t="n"/>
      <c r="F18" s="1055" t="n"/>
      <c r="G18" s="1056" t="n"/>
      <c r="H18" s="1066" t="n"/>
      <c r="I18" s="1067" t="n"/>
      <c r="J18" s="1067" t="n"/>
      <c r="K18" s="1067" t="n"/>
      <c r="L18" s="1067" t="n"/>
      <c r="M18" s="1067" t="n"/>
      <c r="N18" s="1067" t="n"/>
      <c r="O18" s="1067" t="n"/>
      <c r="P18" s="1067" t="n"/>
      <c r="Q18" s="1067" t="n"/>
      <c r="R18" s="1067" t="n"/>
      <c r="S18" s="1067" t="n"/>
      <c r="T18" s="1067" t="n"/>
      <c r="U18" s="1067" t="n"/>
      <c r="V18" s="1067" t="n"/>
      <c r="W18" s="1067" t="n"/>
      <c r="X18" s="1067" t="n"/>
      <c r="Y18" s="1067" t="n"/>
      <c r="Z18" s="1067" t="n"/>
      <c r="AA18" s="1067" t="n"/>
      <c r="AB18" s="1067" t="n"/>
      <c r="AC18" s="1067" t="n"/>
      <c r="AD18" s="1067" t="n"/>
      <c r="AE18" s="1067" t="n"/>
      <c r="AF18" s="1067" t="n"/>
      <c r="AG18" s="1067" t="n"/>
      <c r="AH18" s="1067" t="n"/>
      <c r="AI18" s="1067" t="n"/>
      <c r="AJ18" s="1067" t="n"/>
      <c r="AK18" s="1067" t="n"/>
      <c r="AL18" s="1067" t="n"/>
      <c r="AM18" s="1067" t="n"/>
      <c r="AN18" s="1067" t="n"/>
      <c r="AO18" s="1067" t="n"/>
      <c r="AP18" s="1067" t="n"/>
      <c r="AQ18" s="1067" t="n"/>
      <c r="AR18" s="1067" t="n"/>
      <c r="AS18" s="1067" t="n"/>
      <c r="AT18" s="1067" t="n"/>
      <c r="AU18" s="1067" t="n"/>
      <c r="AV18" s="1067" t="n"/>
      <c r="AW18" s="1068" t="n"/>
      <c r="AX18" s="251" t="n"/>
      <c r="AY18" s="251" t="n"/>
    </row>
    <row r="19" ht="10.5" customHeight="1">
      <c r="A19" s="246" t="n"/>
      <c r="B19" s="1061" t="n"/>
      <c r="C19" s="1062" t="n"/>
      <c r="D19" s="561" t="inlineStr">
        <is>
          <t>代理人氏名</t>
        </is>
      </c>
      <c r="E19" s="1045" t="n"/>
      <c r="F19" s="1045" t="n"/>
      <c r="G19" s="1046" t="n"/>
      <c r="H19" s="767" t="n"/>
      <c r="I19" s="1064" t="n"/>
      <c r="J19" s="1064" t="n"/>
      <c r="K19" s="1064" t="n"/>
      <c r="L19" s="1064" t="n"/>
      <c r="M19" s="1064" t="n"/>
      <c r="N19" s="1064" t="n"/>
      <c r="O19" s="1064" t="n"/>
      <c r="P19" s="1064" t="n"/>
      <c r="Q19" s="1064" t="n"/>
      <c r="R19" s="1064" t="n"/>
      <c r="S19" s="1064" t="n"/>
      <c r="T19" s="1064" t="n"/>
      <c r="U19" s="1064" t="n"/>
      <c r="V19" s="1064" t="n"/>
      <c r="W19" s="1064" t="n"/>
      <c r="X19" s="1064" t="n"/>
      <c r="Y19" s="1064" t="n"/>
      <c r="Z19" s="1064" t="n"/>
      <c r="AA19" s="1064" t="n"/>
      <c r="AB19" s="1064" t="n"/>
      <c r="AC19" s="1064" t="n"/>
      <c r="AD19" s="1064" t="n"/>
      <c r="AE19" s="1064" t="n"/>
      <c r="AF19" s="1064" t="n"/>
      <c r="AG19" s="1064" t="n"/>
      <c r="AH19" s="1065" t="n"/>
      <c r="AI19" s="785" t="inlineStr">
        <is>
          <t>TEL：</t>
        </is>
      </c>
      <c r="AJ19" s="1039" t="n"/>
      <c r="AK19" s="1039" t="n"/>
      <c r="AL19" s="1040" t="n"/>
      <c r="AM19" s="791" t="n"/>
      <c r="AN19" s="1064" t="n"/>
      <c r="AO19" s="1064" t="n"/>
      <c r="AP19" s="1064" t="n"/>
      <c r="AQ19" s="1064" t="n"/>
      <c r="AR19" s="1064" t="n"/>
      <c r="AS19" s="1064" t="n"/>
      <c r="AT19" s="1064" t="n"/>
      <c r="AU19" s="1064" t="n"/>
      <c r="AV19" s="1064" t="n"/>
      <c r="AW19" s="1065" t="n"/>
      <c r="AX19" s="251" t="n"/>
      <c r="AY19" s="251" t="n"/>
    </row>
    <row r="20" ht="10.5" customHeight="1">
      <c r="A20" s="246" t="n"/>
      <c r="B20" s="1061" t="n"/>
      <c r="C20" s="1062" t="n"/>
      <c r="D20" s="1054" t="n"/>
      <c r="E20" s="1055" t="n"/>
      <c r="F20" s="1055" t="n"/>
      <c r="G20" s="1056" t="n"/>
      <c r="H20" s="1066" t="n"/>
      <c r="I20" s="1067" t="n"/>
      <c r="J20" s="1067" t="n"/>
      <c r="K20" s="1067" t="n"/>
      <c r="L20" s="1067" t="n"/>
      <c r="M20" s="1067" t="n"/>
      <c r="N20" s="1067" t="n"/>
      <c r="O20" s="1067" t="n"/>
      <c r="P20" s="1067" t="n"/>
      <c r="Q20" s="1067" t="n"/>
      <c r="R20" s="1067" t="n"/>
      <c r="S20" s="1067" t="n"/>
      <c r="T20" s="1067" t="n"/>
      <c r="U20" s="1067" t="n"/>
      <c r="V20" s="1067" t="n"/>
      <c r="W20" s="1067" t="n"/>
      <c r="X20" s="1067" t="n"/>
      <c r="Y20" s="1067" t="n"/>
      <c r="Z20" s="1067" t="n"/>
      <c r="AA20" s="1067" t="n"/>
      <c r="AB20" s="1067" t="n"/>
      <c r="AC20" s="1067" t="n"/>
      <c r="AD20" s="1067" t="n"/>
      <c r="AE20" s="1067" t="n"/>
      <c r="AF20" s="1067" t="n"/>
      <c r="AG20" s="1067" t="n"/>
      <c r="AH20" s="1068" t="n"/>
      <c r="AI20" s="1049" t="n"/>
      <c r="AJ20" s="1049" t="n"/>
      <c r="AK20" s="1049" t="n"/>
      <c r="AL20" s="1050" t="n"/>
      <c r="AM20" s="1067" t="n"/>
      <c r="AN20" s="1067" t="n"/>
      <c r="AO20" s="1067" t="n"/>
      <c r="AP20" s="1067" t="n"/>
      <c r="AQ20" s="1067" t="n"/>
      <c r="AR20" s="1067" t="n"/>
      <c r="AS20" s="1067" t="n"/>
      <c r="AT20" s="1067" t="n"/>
      <c r="AU20" s="1067" t="n"/>
      <c r="AV20" s="1067" t="n"/>
      <c r="AW20" s="1068" t="n"/>
      <c r="AX20" s="251" t="n"/>
      <c r="AY20" s="251" t="n"/>
    </row>
    <row r="21" ht="10.5" customHeight="1">
      <c r="A21" s="246" t="n"/>
      <c r="B21" s="1061" t="n"/>
      <c r="C21" s="1062" t="n"/>
      <c r="D21" s="561" t="inlineStr">
        <is>
          <t>代理人住所</t>
        </is>
      </c>
      <c r="E21" s="1045" t="n"/>
      <c r="F21" s="1045" t="n"/>
      <c r="G21" s="1046" t="n"/>
      <c r="H21" s="767" t="n"/>
      <c r="I21" s="1064" t="n"/>
      <c r="J21" s="1064" t="n"/>
      <c r="K21" s="1064" t="n"/>
      <c r="L21" s="1064" t="n"/>
      <c r="M21" s="1064" t="n"/>
      <c r="N21" s="1064" t="n"/>
      <c r="O21" s="1064" t="n"/>
      <c r="P21" s="1064" t="n"/>
      <c r="Q21" s="1064" t="n"/>
      <c r="R21" s="1064" t="n"/>
      <c r="S21" s="1064" t="n"/>
      <c r="T21" s="1064" t="n"/>
      <c r="U21" s="1064" t="n"/>
      <c r="V21" s="1064" t="n"/>
      <c r="W21" s="1064" t="n"/>
      <c r="X21" s="1064" t="n"/>
      <c r="Y21" s="1064" t="n"/>
      <c r="Z21" s="1064" t="n"/>
      <c r="AA21" s="1064" t="n"/>
      <c r="AB21" s="1064" t="n"/>
      <c r="AC21" s="1064" t="n"/>
      <c r="AD21" s="1064" t="n"/>
      <c r="AE21" s="1064" t="n"/>
      <c r="AF21" s="1064" t="n"/>
      <c r="AG21" s="1064" t="n"/>
      <c r="AH21" s="1064" t="n"/>
      <c r="AI21" s="1064" t="n"/>
      <c r="AJ21" s="1064" t="n"/>
      <c r="AK21" s="1064" t="n"/>
      <c r="AL21" s="1064" t="n"/>
      <c r="AM21" s="1064" t="n"/>
      <c r="AN21" s="1064" t="n"/>
      <c r="AO21" s="1064" t="n"/>
      <c r="AP21" s="1064" t="n"/>
      <c r="AQ21" s="1064" t="n"/>
      <c r="AR21" s="1064" t="n"/>
      <c r="AS21" s="1064" t="n"/>
      <c r="AT21" s="1064" t="n"/>
      <c r="AU21" s="1064" t="n"/>
      <c r="AV21" s="1064" t="n"/>
      <c r="AW21" s="1065" t="n"/>
      <c r="AX21" s="251" t="n"/>
      <c r="AY21" s="251" t="n"/>
    </row>
    <row r="22" ht="10.5" customHeight="1">
      <c r="A22" s="246" t="n"/>
      <c r="B22" s="1054" t="n"/>
      <c r="C22" s="1056" t="n"/>
      <c r="D22" s="1054" t="n"/>
      <c r="E22" s="1055" t="n"/>
      <c r="F22" s="1055" t="n"/>
      <c r="G22" s="1056" t="n"/>
      <c r="H22" s="1066" t="n"/>
      <c r="I22" s="1067" t="n"/>
      <c r="J22" s="1067" t="n"/>
      <c r="K22" s="1067" t="n"/>
      <c r="L22" s="1067" t="n"/>
      <c r="M22" s="1067" t="n"/>
      <c r="N22" s="1067" t="n"/>
      <c r="O22" s="1067" t="n"/>
      <c r="P22" s="1067" t="n"/>
      <c r="Q22" s="1067" t="n"/>
      <c r="R22" s="1067" t="n"/>
      <c r="S22" s="1067" t="n"/>
      <c r="T22" s="1067" t="n"/>
      <c r="U22" s="1067" t="n"/>
      <c r="V22" s="1067" t="n"/>
      <c r="W22" s="1067" t="n"/>
      <c r="X22" s="1067" t="n"/>
      <c r="Y22" s="1067" t="n"/>
      <c r="Z22" s="1067" t="n"/>
      <c r="AA22" s="1067" t="n"/>
      <c r="AB22" s="1067" t="n"/>
      <c r="AC22" s="1067" t="n"/>
      <c r="AD22" s="1067" t="n"/>
      <c r="AE22" s="1067" t="n"/>
      <c r="AF22" s="1067" t="n"/>
      <c r="AG22" s="1067" t="n"/>
      <c r="AH22" s="1067" t="n"/>
      <c r="AI22" s="1067" t="n"/>
      <c r="AJ22" s="1067" t="n"/>
      <c r="AK22" s="1067" t="n"/>
      <c r="AL22" s="1067" t="n"/>
      <c r="AM22" s="1067" t="n"/>
      <c r="AN22" s="1067" t="n"/>
      <c r="AO22" s="1067" t="n"/>
      <c r="AP22" s="1067" t="n"/>
      <c r="AQ22" s="1067" t="n"/>
      <c r="AR22" s="1067" t="n"/>
      <c r="AS22" s="1067" t="n"/>
      <c r="AT22" s="1067" t="n"/>
      <c r="AU22" s="1067" t="n"/>
      <c r="AV22" s="1067" t="n"/>
      <c r="AW22" s="1068" t="n"/>
      <c r="AX22" s="251" t="n"/>
      <c r="AY22" s="251" t="n"/>
    </row>
    <row r="23" ht="10.5" customHeight="1">
      <c r="A23" s="246" t="n"/>
      <c r="B23" s="1063" t="inlineStr">
        <is>
          <t>買 主</t>
        </is>
      </c>
      <c r="C23" s="1046" t="n"/>
      <c r="D23" s="561" t="inlineStr">
        <is>
          <t>氏  名</t>
        </is>
      </c>
      <c r="E23" s="1045" t="n"/>
      <c r="F23" s="1045" t="n"/>
      <c r="G23" s="1046" t="n"/>
      <c r="H23" s="767" t="n"/>
      <c r="I23" s="1064" t="n"/>
      <c r="J23" s="1064" t="n"/>
      <c r="K23" s="1064" t="n"/>
      <c r="L23" s="1064" t="n"/>
      <c r="M23" s="1064" t="n"/>
      <c r="N23" s="1064" t="n"/>
      <c r="O23" s="1064" t="n"/>
      <c r="P23" s="1064" t="n"/>
      <c r="Q23" s="1064" t="n"/>
      <c r="R23" s="1064" t="n"/>
      <c r="S23" s="1064" t="n"/>
      <c r="T23" s="1064" t="n"/>
      <c r="U23" s="1064" t="n"/>
      <c r="V23" s="1064" t="n"/>
      <c r="W23" s="1064" t="n"/>
      <c r="X23" s="1064" t="n"/>
      <c r="Y23" s="1064" t="n"/>
      <c r="Z23" s="1064" t="n"/>
      <c r="AA23" s="1064" t="n"/>
      <c r="AB23" s="1064" t="n"/>
      <c r="AC23" s="1064" t="n"/>
      <c r="AD23" s="1064" t="n"/>
      <c r="AE23" s="1064" t="n"/>
      <c r="AF23" s="1064" t="n"/>
      <c r="AG23" s="1064" t="n"/>
      <c r="AH23" s="1065" t="n"/>
      <c r="AI23" s="785" t="inlineStr">
        <is>
          <t>TEL：</t>
        </is>
      </c>
      <c r="AJ23" s="1039" t="n"/>
      <c r="AK23" s="1039" t="n"/>
      <c r="AL23" s="1040" t="n"/>
      <c r="AM23" s="791" t="n"/>
      <c r="AN23" s="1064" t="n"/>
      <c r="AO23" s="1064" t="n"/>
      <c r="AP23" s="1064" t="n"/>
      <c r="AQ23" s="1064" t="n"/>
      <c r="AR23" s="1064" t="n"/>
      <c r="AS23" s="1064" t="n"/>
      <c r="AT23" s="1064" t="n"/>
      <c r="AU23" s="1064" t="n"/>
      <c r="AV23" s="1064" t="n"/>
      <c r="AW23" s="1065" t="n"/>
      <c r="AY23" s="244" t="n"/>
      <c r="BA23" s="246" t="n"/>
      <c r="BB23" s="246" t="n"/>
      <c r="BC23" s="246" t="n"/>
      <c r="BD23" s="246" t="n"/>
      <c r="BE23" s="246" t="n"/>
      <c r="BF23" s="246" t="n"/>
      <c r="BG23" s="246" t="n"/>
      <c r="BH23" s="246" t="n"/>
      <c r="BI23" s="246" t="n"/>
      <c r="BJ23" s="246" t="n"/>
      <c r="BK23" s="246" t="n"/>
      <c r="BL23" s="246" t="n"/>
      <c r="BM23" s="246" t="n"/>
      <c r="BN23" s="246" t="n"/>
      <c r="BO23" s="246" t="n"/>
      <c r="BP23" s="246" t="n"/>
      <c r="BQ23" s="246" t="n"/>
      <c r="BR23" s="246" t="n"/>
      <c r="BS23" s="246" t="n"/>
      <c r="BT23" s="246" t="n"/>
      <c r="BU23" s="246" t="n"/>
      <c r="BV23" s="246" t="n"/>
      <c r="BW23" s="246" t="n"/>
      <c r="BX23" s="246" t="n"/>
      <c r="BY23" s="246" t="n"/>
      <c r="BZ23" s="246" t="n"/>
      <c r="CA23" s="246" t="n"/>
      <c r="CB23" s="246" t="n"/>
      <c r="CC23" s="246" t="n"/>
      <c r="CD23" s="246" t="n"/>
    </row>
    <row r="24" ht="10.5" customHeight="1">
      <c r="A24" s="812" t="n"/>
      <c r="B24" s="1061" t="n"/>
      <c r="C24" s="1062" t="n"/>
      <c r="D24" s="1054" t="n"/>
      <c r="E24" s="1055" t="n"/>
      <c r="F24" s="1055" t="n"/>
      <c r="G24" s="1056" t="n"/>
      <c r="H24" s="1066" t="n"/>
      <c r="I24" s="1067" t="n"/>
      <c r="J24" s="1067" t="n"/>
      <c r="K24" s="1067" t="n"/>
      <c r="L24" s="1067" t="n"/>
      <c r="M24" s="1067" t="n"/>
      <c r="N24" s="1067" t="n"/>
      <c r="O24" s="1067" t="n"/>
      <c r="P24" s="1067" t="n"/>
      <c r="Q24" s="1067" t="n"/>
      <c r="R24" s="1067" t="n"/>
      <c r="S24" s="1067" t="n"/>
      <c r="T24" s="1067" t="n"/>
      <c r="U24" s="1067" t="n"/>
      <c r="V24" s="1067" t="n"/>
      <c r="W24" s="1067" t="n"/>
      <c r="X24" s="1067" t="n"/>
      <c r="Y24" s="1067" t="n"/>
      <c r="Z24" s="1067" t="n"/>
      <c r="AA24" s="1067" t="n"/>
      <c r="AB24" s="1067" t="n"/>
      <c r="AC24" s="1067" t="n"/>
      <c r="AD24" s="1067" t="n"/>
      <c r="AE24" s="1067" t="n"/>
      <c r="AF24" s="1067" t="n"/>
      <c r="AG24" s="1067" t="n"/>
      <c r="AH24" s="1068" t="n"/>
      <c r="AI24" s="1049" t="n"/>
      <c r="AJ24" s="1049" t="n"/>
      <c r="AK24" s="1049" t="n"/>
      <c r="AL24" s="1050" t="n"/>
      <c r="AM24" s="1067" t="n"/>
      <c r="AN24" s="1067" t="n"/>
      <c r="AO24" s="1067" t="n"/>
      <c r="AP24" s="1067" t="n"/>
      <c r="AQ24" s="1067" t="n"/>
      <c r="AR24" s="1067" t="n"/>
      <c r="AS24" s="1067" t="n"/>
      <c r="AT24" s="1067" t="n"/>
      <c r="AU24" s="1067" t="n"/>
      <c r="AV24" s="1067" t="n"/>
      <c r="AW24" s="1068" t="n"/>
      <c r="AY24" s="244" t="n"/>
      <c r="BA24" s="246" t="n"/>
      <c r="BB24" s="246" t="n"/>
      <c r="BC24" s="246" t="n"/>
      <c r="BD24" s="246" t="n"/>
      <c r="BE24" s="246" t="n"/>
      <c r="BF24" s="246" t="n"/>
      <c r="BG24" s="246" t="n"/>
      <c r="BH24" s="246" t="n"/>
      <c r="BI24" s="246" t="n"/>
      <c r="BJ24" s="246" t="n"/>
      <c r="BK24" s="246" t="n"/>
      <c r="BL24" s="246" t="n"/>
      <c r="BM24" s="246" t="n"/>
      <c r="BN24" s="246" t="n"/>
      <c r="BO24" s="246" t="n"/>
      <c r="BP24" s="246" t="n"/>
      <c r="BQ24" s="246" t="n"/>
      <c r="BR24" s="246" t="n"/>
      <c r="BS24" s="246" t="n"/>
      <c r="BT24" s="246" t="n"/>
      <c r="BU24" s="246" t="n"/>
      <c r="BV24" s="246" t="n"/>
      <c r="BW24" s="246" t="n"/>
      <c r="BX24" s="246" t="n"/>
      <c r="BY24" s="246" t="n"/>
      <c r="BZ24" s="246" t="n"/>
      <c r="CA24" s="246" t="n"/>
      <c r="CB24" s="246" t="n"/>
      <c r="CC24" s="246" t="n"/>
      <c r="CD24" s="246" t="n"/>
    </row>
    <row r="25" ht="10.5" customHeight="1">
      <c r="A25" s="812" t="n"/>
      <c r="B25" s="1061" t="n"/>
      <c r="C25" s="1062" t="n"/>
      <c r="D25" s="561" t="inlineStr">
        <is>
          <t>住  所</t>
        </is>
      </c>
      <c r="E25" s="1045" t="n"/>
      <c r="F25" s="1045" t="n"/>
      <c r="G25" s="1046" t="n"/>
      <c r="H25" s="767" t="n"/>
      <c r="I25" s="1064" t="n"/>
      <c r="J25" s="1064" t="n"/>
      <c r="K25" s="1064" t="n"/>
      <c r="L25" s="1064" t="n"/>
      <c r="M25" s="1064" t="n"/>
      <c r="N25" s="1064" t="n"/>
      <c r="O25" s="1064" t="n"/>
      <c r="P25" s="1064" t="n"/>
      <c r="Q25" s="1064" t="n"/>
      <c r="R25" s="1064" t="n"/>
      <c r="S25" s="1064" t="n"/>
      <c r="T25" s="1064" t="n"/>
      <c r="U25" s="1064" t="n"/>
      <c r="V25" s="1064" t="n"/>
      <c r="W25" s="1064" t="n"/>
      <c r="X25" s="1064" t="n"/>
      <c r="Y25" s="1064" t="n"/>
      <c r="Z25" s="1064" t="n"/>
      <c r="AA25" s="1064" t="n"/>
      <c r="AB25" s="1064" t="n"/>
      <c r="AC25" s="1064" t="n"/>
      <c r="AD25" s="1064" t="n"/>
      <c r="AE25" s="1064" t="n"/>
      <c r="AF25" s="1064" t="n"/>
      <c r="AG25" s="1064" t="n"/>
      <c r="AH25" s="1064" t="n"/>
      <c r="AI25" s="1064" t="n"/>
      <c r="AJ25" s="1064" t="n"/>
      <c r="AK25" s="1064" t="n"/>
      <c r="AL25" s="1064" t="n"/>
      <c r="AM25" s="1064" t="n"/>
      <c r="AN25" s="1064" t="n"/>
      <c r="AO25" s="1064" t="n"/>
      <c r="AP25" s="1064" t="n"/>
      <c r="AQ25" s="1064" t="n"/>
      <c r="AR25" s="1064" t="n"/>
      <c r="AS25" s="1064" t="n"/>
      <c r="AT25" s="1064" t="n"/>
      <c r="AU25" s="1064" t="n"/>
      <c r="AV25" s="1064" t="n"/>
      <c r="AW25" s="1065" t="n"/>
      <c r="AX25" s="253" t="n"/>
      <c r="AY25" s="251" t="n"/>
      <c r="BD25" s="246" t="n"/>
      <c r="BE25" s="246" t="n"/>
      <c r="BF25" s="246" t="n"/>
      <c r="BG25" s="246" t="n"/>
      <c r="BH25" s="246" t="n"/>
      <c r="BI25" s="246" t="n"/>
      <c r="BJ25" s="246" t="n"/>
      <c r="BK25" s="246" t="n"/>
      <c r="BL25" s="246" t="n"/>
      <c r="BM25" s="246" t="n"/>
      <c r="BN25" s="246" t="n"/>
      <c r="BO25" s="246" t="n"/>
      <c r="BP25" s="246" t="n"/>
      <c r="BQ25" s="246" t="n"/>
      <c r="BR25" s="246" t="n"/>
      <c r="BS25" s="246" t="n"/>
      <c r="BT25" s="246" t="n"/>
      <c r="BU25" s="246" t="n"/>
      <c r="BV25" s="246" t="n"/>
      <c r="BW25" s="246" t="n"/>
      <c r="BX25" s="246" t="n"/>
      <c r="BY25" s="246" t="n"/>
      <c r="BZ25" s="246" t="n"/>
      <c r="CA25" s="246" t="n"/>
      <c r="CB25" s="246" t="n"/>
      <c r="CC25" s="246" t="n"/>
      <c r="CD25" s="246" t="n"/>
      <c r="CE25" s="246" t="n"/>
      <c r="CF25" s="246" t="n"/>
      <c r="CG25" s="246" t="n"/>
    </row>
    <row r="26" ht="10.5" customHeight="1">
      <c r="A26" s="812" t="n"/>
      <c r="B26" s="1061" t="n"/>
      <c r="C26" s="1062" t="n"/>
      <c r="D26" s="1054" t="n"/>
      <c r="E26" s="1055" t="n"/>
      <c r="F26" s="1055" t="n"/>
      <c r="G26" s="1056" t="n"/>
      <c r="H26" s="1066" t="n"/>
      <c r="I26" s="1067" t="n"/>
      <c r="J26" s="1067" t="n"/>
      <c r="K26" s="1067" t="n"/>
      <c r="L26" s="1067" t="n"/>
      <c r="M26" s="1067" t="n"/>
      <c r="N26" s="1067" t="n"/>
      <c r="O26" s="1067" t="n"/>
      <c r="P26" s="1067" t="n"/>
      <c r="Q26" s="1067" t="n"/>
      <c r="R26" s="1067" t="n"/>
      <c r="S26" s="1067" t="n"/>
      <c r="T26" s="1067" t="n"/>
      <c r="U26" s="1067" t="n"/>
      <c r="V26" s="1067" t="n"/>
      <c r="W26" s="1067" t="n"/>
      <c r="X26" s="1067" t="n"/>
      <c r="Y26" s="1067" t="n"/>
      <c r="Z26" s="1067" t="n"/>
      <c r="AA26" s="1067" t="n"/>
      <c r="AB26" s="1067" t="n"/>
      <c r="AC26" s="1067" t="n"/>
      <c r="AD26" s="1067" t="n"/>
      <c r="AE26" s="1067" t="n"/>
      <c r="AF26" s="1067" t="n"/>
      <c r="AG26" s="1067" t="n"/>
      <c r="AH26" s="1067" t="n"/>
      <c r="AI26" s="1067" t="n"/>
      <c r="AJ26" s="1067" t="n"/>
      <c r="AK26" s="1067" t="n"/>
      <c r="AL26" s="1067" t="n"/>
      <c r="AM26" s="1067" t="n"/>
      <c r="AN26" s="1067" t="n"/>
      <c r="AO26" s="1067" t="n"/>
      <c r="AP26" s="1067" t="n"/>
      <c r="AQ26" s="1067" t="n"/>
      <c r="AR26" s="1067" t="n"/>
      <c r="AS26" s="1067" t="n"/>
      <c r="AT26" s="1067" t="n"/>
      <c r="AU26" s="1067" t="n"/>
      <c r="AV26" s="1067" t="n"/>
      <c r="AW26" s="1068" t="n"/>
      <c r="AX26" s="253" t="n"/>
      <c r="AY26" s="251" t="n"/>
      <c r="BD26" s="246" t="n"/>
      <c r="BE26" s="246" t="n"/>
      <c r="BF26" s="246" t="n"/>
      <c r="BG26" s="246" t="n"/>
      <c r="BH26" s="246" t="n"/>
      <c r="BI26" s="246" t="n"/>
      <c r="BJ26" s="246" t="n"/>
      <c r="BK26" s="246" t="n"/>
      <c r="BL26" s="246" t="n"/>
      <c r="BM26" s="246" t="n"/>
      <c r="BN26" s="246" t="n"/>
      <c r="BO26" s="246" t="n"/>
      <c r="BP26" s="246" t="n"/>
      <c r="BQ26" s="246" t="n"/>
      <c r="BR26" s="246" t="n"/>
      <c r="BS26" s="246" t="n"/>
      <c r="BT26" s="246" t="n"/>
      <c r="BU26" s="246" t="n"/>
      <c r="BV26" s="246" t="n"/>
      <c r="BW26" s="246" t="n"/>
      <c r="BX26" s="246" t="n"/>
      <c r="BY26" s="246" t="n"/>
      <c r="BZ26" s="246" t="n"/>
      <c r="CA26" s="246" t="n"/>
      <c r="CB26" s="246" t="n"/>
      <c r="CC26" s="246" t="n"/>
      <c r="CD26" s="246" t="n"/>
      <c r="CE26" s="246" t="n"/>
      <c r="CF26" s="246" t="n"/>
      <c r="CG26" s="246" t="n"/>
    </row>
    <row r="27" ht="10.5" customHeight="1">
      <c r="A27" s="246" t="n"/>
      <c r="B27" s="1061" t="n"/>
      <c r="C27" s="1062" t="n"/>
      <c r="D27" s="561" t="inlineStr">
        <is>
          <t>代理人氏名</t>
        </is>
      </c>
      <c r="E27" s="1045" t="n"/>
      <c r="F27" s="1045" t="n"/>
      <c r="G27" s="1046" t="n"/>
      <c r="H27" s="767" t="n"/>
      <c r="I27" s="1064" t="n"/>
      <c r="J27" s="1064" t="n"/>
      <c r="K27" s="1064" t="n"/>
      <c r="L27" s="1064" t="n"/>
      <c r="M27" s="1064" t="n"/>
      <c r="N27" s="1064" t="n"/>
      <c r="O27" s="1064" t="n"/>
      <c r="P27" s="1064" t="n"/>
      <c r="Q27" s="1064" t="n"/>
      <c r="R27" s="1064" t="n"/>
      <c r="S27" s="1064" t="n"/>
      <c r="T27" s="1064" t="n"/>
      <c r="U27" s="1064" t="n"/>
      <c r="V27" s="1064" t="n"/>
      <c r="W27" s="1064" t="n"/>
      <c r="X27" s="1064" t="n"/>
      <c r="Y27" s="1064" t="n"/>
      <c r="Z27" s="1064" t="n"/>
      <c r="AA27" s="1064" t="n"/>
      <c r="AB27" s="1064" t="n"/>
      <c r="AC27" s="1064" t="n"/>
      <c r="AD27" s="1064" t="n"/>
      <c r="AE27" s="1064" t="n"/>
      <c r="AF27" s="1064" t="n"/>
      <c r="AG27" s="1064" t="n"/>
      <c r="AH27" s="1065" t="n"/>
      <c r="AI27" s="785" t="inlineStr">
        <is>
          <t>TEL：</t>
        </is>
      </c>
      <c r="AJ27" s="1039" t="n"/>
      <c r="AK27" s="1039" t="n"/>
      <c r="AL27" s="1040" t="n"/>
      <c r="AM27" s="791" t="n"/>
      <c r="AN27" s="1064" t="n"/>
      <c r="AO27" s="1064" t="n"/>
      <c r="AP27" s="1064" t="n"/>
      <c r="AQ27" s="1064" t="n"/>
      <c r="AR27" s="1064" t="n"/>
      <c r="AS27" s="1064" t="n"/>
      <c r="AT27" s="1064" t="n"/>
      <c r="AU27" s="1064" t="n"/>
      <c r="AV27" s="1064" t="n"/>
      <c r="AW27" s="1065" t="n"/>
      <c r="AX27" s="251" t="n"/>
      <c r="AY27" s="251" t="n"/>
    </row>
    <row r="28" ht="10.5" customHeight="1">
      <c r="A28" s="246" t="n"/>
      <c r="B28" s="1061" t="n"/>
      <c r="C28" s="1062" t="n"/>
      <c r="D28" s="1054" t="n"/>
      <c r="E28" s="1055" t="n"/>
      <c r="F28" s="1055" t="n"/>
      <c r="G28" s="1056" t="n"/>
      <c r="H28" s="1066" t="n"/>
      <c r="I28" s="1067" t="n"/>
      <c r="J28" s="1067" t="n"/>
      <c r="K28" s="1067" t="n"/>
      <c r="L28" s="1067" t="n"/>
      <c r="M28" s="1067" t="n"/>
      <c r="N28" s="1067" t="n"/>
      <c r="O28" s="1067" t="n"/>
      <c r="P28" s="1067" t="n"/>
      <c r="Q28" s="1067" t="n"/>
      <c r="R28" s="1067" t="n"/>
      <c r="S28" s="1067" t="n"/>
      <c r="T28" s="1067" t="n"/>
      <c r="U28" s="1067" t="n"/>
      <c r="V28" s="1067" t="n"/>
      <c r="W28" s="1067" t="n"/>
      <c r="X28" s="1067" t="n"/>
      <c r="Y28" s="1067" t="n"/>
      <c r="Z28" s="1067" t="n"/>
      <c r="AA28" s="1067" t="n"/>
      <c r="AB28" s="1067" t="n"/>
      <c r="AC28" s="1067" t="n"/>
      <c r="AD28" s="1067" t="n"/>
      <c r="AE28" s="1067" t="n"/>
      <c r="AF28" s="1067" t="n"/>
      <c r="AG28" s="1067" t="n"/>
      <c r="AH28" s="1068" t="n"/>
      <c r="AI28" s="1049" t="n"/>
      <c r="AJ28" s="1049" t="n"/>
      <c r="AK28" s="1049" t="n"/>
      <c r="AL28" s="1050" t="n"/>
      <c r="AM28" s="1067" t="n"/>
      <c r="AN28" s="1067" t="n"/>
      <c r="AO28" s="1067" t="n"/>
      <c r="AP28" s="1067" t="n"/>
      <c r="AQ28" s="1067" t="n"/>
      <c r="AR28" s="1067" t="n"/>
      <c r="AS28" s="1067" t="n"/>
      <c r="AT28" s="1067" t="n"/>
      <c r="AU28" s="1067" t="n"/>
      <c r="AV28" s="1067" t="n"/>
      <c r="AW28" s="1068" t="n"/>
      <c r="AX28" s="251" t="n"/>
      <c r="AY28" s="251" t="n"/>
    </row>
    <row r="29" ht="10.5" customHeight="1">
      <c r="A29" s="246" t="n"/>
      <c r="B29" s="1061" t="n"/>
      <c r="C29" s="1062" t="n"/>
      <c r="D29" s="561" t="inlineStr">
        <is>
          <t>代理人住所</t>
        </is>
      </c>
      <c r="E29" s="1045" t="n"/>
      <c r="F29" s="1045" t="n"/>
      <c r="G29" s="1046" t="n"/>
      <c r="H29" s="767" t="n"/>
      <c r="I29" s="1064" t="n"/>
      <c r="J29" s="1064" t="n"/>
      <c r="K29" s="1064" t="n"/>
      <c r="L29" s="1064" t="n"/>
      <c r="M29" s="1064" t="n"/>
      <c r="N29" s="1064" t="n"/>
      <c r="O29" s="1064" t="n"/>
      <c r="P29" s="1064" t="n"/>
      <c r="Q29" s="1064" t="n"/>
      <c r="R29" s="1064" t="n"/>
      <c r="S29" s="1064" t="n"/>
      <c r="T29" s="1064" t="n"/>
      <c r="U29" s="1064" t="n"/>
      <c r="V29" s="1064" t="n"/>
      <c r="W29" s="1064" t="n"/>
      <c r="X29" s="1064" t="n"/>
      <c r="Y29" s="1064" t="n"/>
      <c r="Z29" s="1064" t="n"/>
      <c r="AA29" s="1064" t="n"/>
      <c r="AB29" s="1064" t="n"/>
      <c r="AC29" s="1064" t="n"/>
      <c r="AD29" s="1064" t="n"/>
      <c r="AE29" s="1064" t="n"/>
      <c r="AF29" s="1064" t="n"/>
      <c r="AG29" s="1064" t="n"/>
      <c r="AH29" s="1064" t="n"/>
      <c r="AI29" s="1064" t="n"/>
      <c r="AJ29" s="1064" t="n"/>
      <c r="AK29" s="1064" t="n"/>
      <c r="AL29" s="1064" t="n"/>
      <c r="AM29" s="1064" t="n"/>
      <c r="AN29" s="1064" t="n"/>
      <c r="AO29" s="1064" t="n"/>
      <c r="AP29" s="1064" t="n"/>
      <c r="AQ29" s="1064" t="n"/>
      <c r="AR29" s="1064" t="n"/>
      <c r="AS29" s="1064" t="n"/>
      <c r="AT29" s="1064" t="n"/>
      <c r="AU29" s="1064" t="n"/>
      <c r="AV29" s="1064" t="n"/>
      <c r="AW29" s="1065" t="n"/>
      <c r="AX29" s="251" t="n"/>
      <c r="AY29" s="251" t="n"/>
    </row>
    <row r="30" ht="10.5" customHeight="1">
      <c r="A30" s="246" t="n"/>
      <c r="B30" s="1054" t="n"/>
      <c r="C30" s="1056" t="n"/>
      <c r="D30" s="1054" t="n"/>
      <c r="E30" s="1055" t="n"/>
      <c r="F30" s="1055" t="n"/>
      <c r="G30" s="1056" t="n"/>
      <c r="H30" s="1066" t="n"/>
      <c r="I30" s="1067" t="n"/>
      <c r="J30" s="1067" t="n"/>
      <c r="K30" s="1067" t="n"/>
      <c r="L30" s="1067" t="n"/>
      <c r="M30" s="1067" t="n"/>
      <c r="N30" s="1067" t="n"/>
      <c r="O30" s="1067" t="n"/>
      <c r="P30" s="1067" t="n"/>
      <c r="Q30" s="1067" t="n"/>
      <c r="R30" s="1067" t="n"/>
      <c r="S30" s="1067" t="n"/>
      <c r="T30" s="1067" t="n"/>
      <c r="U30" s="1067" t="n"/>
      <c r="V30" s="1067" t="n"/>
      <c r="W30" s="1067" t="n"/>
      <c r="X30" s="1067" t="n"/>
      <c r="Y30" s="1067" t="n"/>
      <c r="Z30" s="1067" t="n"/>
      <c r="AA30" s="1067" t="n"/>
      <c r="AB30" s="1067" t="n"/>
      <c r="AC30" s="1067" t="n"/>
      <c r="AD30" s="1067" t="n"/>
      <c r="AE30" s="1067" t="n"/>
      <c r="AF30" s="1067" t="n"/>
      <c r="AG30" s="1067" t="n"/>
      <c r="AH30" s="1067" t="n"/>
      <c r="AI30" s="1067" t="n"/>
      <c r="AJ30" s="1067" t="n"/>
      <c r="AK30" s="1067" t="n"/>
      <c r="AL30" s="1067" t="n"/>
      <c r="AM30" s="1067" t="n"/>
      <c r="AN30" s="1067" t="n"/>
      <c r="AO30" s="1067" t="n"/>
      <c r="AP30" s="1067" t="n"/>
      <c r="AQ30" s="1067" t="n"/>
      <c r="AR30" s="1067" t="n"/>
      <c r="AS30" s="1067" t="n"/>
      <c r="AT30" s="1067" t="n"/>
      <c r="AU30" s="1067" t="n"/>
      <c r="AV30" s="1067" t="n"/>
      <c r="AW30" s="1068" t="n"/>
      <c r="AX30" s="251" t="n"/>
      <c r="AY30" s="251" t="n"/>
    </row>
    <row r="31" ht="10.5" customHeight="1">
      <c r="A31" s="246" t="n"/>
      <c r="B31" s="566" t="n"/>
      <c r="C31" s="566" t="n"/>
      <c r="D31" s="566" t="n"/>
      <c r="E31" s="566" t="n"/>
      <c r="F31" s="566" t="n"/>
      <c r="G31" s="566" t="n"/>
      <c r="H31" s="255" t="n"/>
      <c r="I31" s="255" t="n"/>
      <c r="J31" s="255" t="n"/>
      <c r="K31" s="255" t="n"/>
      <c r="L31" s="255" t="n"/>
      <c r="M31" s="255" t="n"/>
      <c r="N31" s="255" t="n"/>
      <c r="O31" s="255" t="n"/>
      <c r="P31" s="255" t="n"/>
      <c r="Q31" s="255" t="n"/>
      <c r="R31" s="255" t="n"/>
      <c r="S31" s="255" t="n"/>
      <c r="T31" s="255" t="n"/>
      <c r="U31" s="255" t="n"/>
      <c r="V31" s="255" t="n"/>
      <c r="W31" s="255" t="n"/>
      <c r="X31" s="255" t="n"/>
      <c r="Y31" s="255" t="n"/>
      <c r="Z31" s="255" t="n"/>
      <c r="AA31" s="255" t="n"/>
      <c r="AB31" s="255" t="n"/>
      <c r="AC31" s="255" t="n"/>
      <c r="AD31" s="255" t="n"/>
      <c r="AE31" s="255" t="n"/>
      <c r="AF31" s="255" t="n"/>
      <c r="AG31" s="255" t="n"/>
      <c r="AH31" s="255" t="n"/>
      <c r="AI31" s="780" t="n"/>
      <c r="AJ31" s="780" t="n"/>
      <c r="AK31" s="780" t="n"/>
      <c r="AL31" s="780" t="n"/>
      <c r="AM31" s="256" t="n"/>
      <c r="AN31" s="256" t="n"/>
      <c r="AO31" s="256" t="n"/>
      <c r="AP31" s="256" t="n"/>
      <c r="AQ31" s="256" t="n"/>
      <c r="AR31" s="256" t="n"/>
      <c r="AS31" s="256" t="n"/>
      <c r="AT31" s="256" t="n"/>
      <c r="AU31" s="256" t="n"/>
      <c r="AV31" s="256" t="n"/>
      <c r="AW31" s="256" t="n"/>
      <c r="AX31" s="246" t="n"/>
      <c r="AY31" s="246" t="n"/>
      <c r="AZ31" s="246" t="n"/>
      <c r="BA31" s="246" t="n"/>
      <c r="BB31" s="246" t="n"/>
      <c r="BC31" s="246" t="n"/>
      <c r="BD31" s="246" t="n"/>
      <c r="BE31" s="246" t="n"/>
      <c r="BF31" s="246" t="n"/>
      <c r="BG31" s="246" t="n"/>
      <c r="BH31" s="246" t="n"/>
      <c r="BI31" s="246" t="n"/>
      <c r="BJ31" s="246" t="n"/>
      <c r="BK31" s="246" t="n"/>
      <c r="BL31" s="246" t="n"/>
      <c r="BM31" s="246" t="n"/>
      <c r="BN31" s="246" t="n"/>
      <c r="BO31" s="246" t="n"/>
      <c r="BP31" s="246" t="n"/>
      <c r="BQ31" s="246" t="n"/>
      <c r="BR31" s="246" t="n"/>
      <c r="BS31" s="246" t="n"/>
      <c r="BT31" s="246" t="n"/>
      <c r="BU31" s="246" t="n"/>
      <c r="BV31" s="246" t="n"/>
      <c r="BW31" s="246" t="n"/>
      <c r="BX31" s="246" t="n"/>
      <c r="BY31" s="246" t="n"/>
      <c r="BZ31" s="246" t="n"/>
      <c r="CA31" s="246" t="n"/>
      <c r="CB31" s="246" t="n"/>
      <c r="CC31" s="246" t="n"/>
      <c r="CD31" s="246" t="n"/>
      <c r="CE31" s="246" t="n"/>
      <c r="CF31" s="246" t="n"/>
      <c r="CG31" s="246" t="n"/>
    </row>
    <row r="32" ht="10.5" customHeight="1">
      <c r="A32" s="246" t="n"/>
      <c r="B32" s="1063" t="inlineStr">
        <is>
          <t>土 地</t>
        </is>
      </c>
      <c r="C32" s="1046" t="n"/>
      <c r="D32" s="695" t="inlineStr">
        <is>
          <t>所在・地番</t>
        </is>
      </c>
      <c r="E32" s="1039" t="n"/>
      <c r="F32" s="1039" t="n"/>
      <c r="G32" s="1040" t="n"/>
      <c r="H32" s="1069">
        <f>①物件情報入力シート!C4</f>
        <v/>
      </c>
      <c r="I32" s="1042" t="n"/>
      <c r="J32" s="1042" t="n"/>
      <c r="K32" s="1042" t="n"/>
      <c r="L32" s="1042" t="n"/>
      <c r="M32" s="1042" t="n"/>
      <c r="N32" s="1042" t="n"/>
      <c r="O32" s="1042" t="n"/>
      <c r="P32" s="1042" t="n"/>
      <c r="Q32" s="1042" t="n"/>
      <c r="R32" s="1042" t="n"/>
      <c r="S32" s="1042" t="n"/>
      <c r="T32" s="1042" t="n"/>
      <c r="U32" s="1042" t="n"/>
      <c r="V32" s="1042" t="n"/>
      <c r="W32" s="1042" t="n"/>
      <c r="X32" s="1042" t="n"/>
      <c r="Y32" s="1042" t="n"/>
      <c r="Z32" s="1042" t="n"/>
      <c r="AA32" s="1042" t="n"/>
      <c r="AB32" s="1042" t="n"/>
      <c r="AC32" s="1042" t="n"/>
      <c r="AD32" s="1042" t="n"/>
      <c r="AE32" s="1042" t="n"/>
      <c r="AF32" s="1042" t="n"/>
      <c r="AG32" s="1042" t="n"/>
      <c r="AH32" s="1042" t="n"/>
      <c r="AI32" s="1042" t="n"/>
      <c r="AJ32" s="1042" t="n"/>
      <c r="AK32" s="1042" t="n"/>
      <c r="AL32" s="1042" t="n"/>
      <c r="AM32" s="1042" t="n"/>
      <c r="AN32" s="1042" t="n"/>
      <c r="AO32" s="1042" t="n"/>
      <c r="AP32" s="1042" t="n"/>
      <c r="AQ32" s="1042" t="n"/>
      <c r="AR32" s="1042" t="n"/>
      <c r="AS32" s="1042" t="n"/>
      <c r="AT32" s="1042" t="n"/>
      <c r="AU32" s="1042" t="n"/>
      <c r="AV32" s="1042" t="n"/>
      <c r="AW32" s="1043" t="n"/>
      <c r="AX32" s="246" t="n"/>
      <c r="AY32" s="246" t="n"/>
      <c r="AZ32" s="246" t="n"/>
      <c r="BA32" s="246" t="n"/>
      <c r="BB32" s="246" t="n"/>
      <c r="BC32" s="246" t="n"/>
      <c r="BD32" s="246" t="n"/>
      <c r="BE32" s="246" t="n"/>
      <c r="BF32" s="246" t="n"/>
      <c r="BG32" s="246" t="n"/>
      <c r="BH32" s="246" t="n"/>
      <c r="BI32" s="246" t="n"/>
      <c r="BJ32" s="246" t="n"/>
      <c r="BK32" s="246" t="n"/>
      <c r="BL32" s="246" t="n"/>
      <c r="BM32" s="246" t="n"/>
      <c r="BN32" s="246" t="n"/>
      <c r="BO32" s="246" t="n"/>
      <c r="BP32" s="246" t="n"/>
      <c r="BQ32" s="246" t="n"/>
      <c r="BR32" s="246" t="n"/>
      <c r="BS32" s="246" t="n"/>
      <c r="BT32" s="246" t="n"/>
      <c r="BU32" s="246" t="n"/>
      <c r="BV32" s="246" t="n"/>
      <c r="BW32" s="246" t="n"/>
      <c r="BX32" s="246" t="n"/>
      <c r="BY32" s="246" t="n"/>
      <c r="BZ32" s="246" t="n"/>
      <c r="CA32" s="246" t="n"/>
      <c r="CB32" s="246" t="n"/>
      <c r="CC32" s="246" t="n"/>
      <c r="CD32" s="246" t="n"/>
      <c r="CE32" s="246" t="n"/>
      <c r="CF32" s="246" t="n"/>
      <c r="CG32" s="246" t="n"/>
    </row>
    <row r="33" ht="10.5" customHeight="1">
      <c r="A33" s="246" t="n"/>
      <c r="B33" s="1061" t="n"/>
      <c r="C33" s="1062" t="n"/>
      <c r="D33" s="1048" t="n"/>
      <c r="E33" s="1049" t="n"/>
      <c r="F33" s="1049" t="n"/>
      <c r="G33" s="1050" t="n"/>
      <c r="H33" s="1051" t="n"/>
      <c r="I33" s="1052" t="n"/>
      <c r="J33" s="1052" t="n"/>
      <c r="K33" s="1052" t="n"/>
      <c r="L33" s="1052" t="n"/>
      <c r="M33" s="1052" t="n"/>
      <c r="N33" s="1052" t="n"/>
      <c r="O33" s="1052" t="n"/>
      <c r="P33" s="1052" t="n"/>
      <c r="Q33" s="1052" t="n"/>
      <c r="R33" s="1052" t="n"/>
      <c r="S33" s="1052" t="n"/>
      <c r="T33" s="1052" t="n"/>
      <c r="U33" s="1052" t="n"/>
      <c r="V33" s="1052" t="n"/>
      <c r="W33" s="1052" t="n"/>
      <c r="X33" s="1052" t="n"/>
      <c r="Y33" s="1052" t="n"/>
      <c r="Z33" s="1052" t="n"/>
      <c r="AA33" s="1052" t="n"/>
      <c r="AB33" s="1052" t="n"/>
      <c r="AC33" s="1052" t="n"/>
      <c r="AD33" s="1052" t="n"/>
      <c r="AE33" s="1052" t="n"/>
      <c r="AF33" s="1052" t="n"/>
      <c r="AG33" s="1052" t="n"/>
      <c r="AH33" s="1052" t="n"/>
      <c r="AI33" s="1052" t="n"/>
      <c r="AJ33" s="1052" t="n"/>
      <c r="AK33" s="1052" t="n"/>
      <c r="AL33" s="1052" t="n"/>
      <c r="AM33" s="1052" t="n"/>
      <c r="AN33" s="1052" t="n"/>
      <c r="AO33" s="1052" t="n"/>
      <c r="AP33" s="1052" t="n"/>
      <c r="AQ33" s="1052" t="n"/>
      <c r="AR33" s="1052" t="n"/>
      <c r="AS33" s="1052" t="n"/>
      <c r="AT33" s="1052" t="n"/>
      <c r="AU33" s="1052" t="n"/>
      <c r="AV33" s="1052" t="n"/>
      <c r="AW33" s="1053" t="n"/>
      <c r="AX33" s="246" t="n"/>
      <c r="AY33" s="246" t="n"/>
      <c r="AZ33" s="246" t="n"/>
      <c r="BA33" s="246" t="n"/>
      <c r="BB33" s="246" t="n"/>
      <c r="BC33" s="246" t="n"/>
      <c r="BD33" s="246" t="n"/>
      <c r="BE33" s="246" t="n"/>
      <c r="BF33" s="246" t="n"/>
      <c r="BG33" s="246" t="n"/>
      <c r="BH33" s="246" t="n"/>
      <c r="BI33" s="246" t="n"/>
      <c r="BJ33" s="246" t="n"/>
      <c r="BK33" s="246" t="n"/>
      <c r="BL33" s="246" t="n"/>
      <c r="BM33" s="246" t="n"/>
      <c r="BN33" s="246" t="n"/>
      <c r="BO33" s="246" t="n"/>
      <c r="BP33" s="246" t="n"/>
      <c r="BQ33" s="246" t="n"/>
      <c r="BR33" s="246" t="n"/>
      <c r="BS33" s="246" t="n"/>
      <c r="BT33" s="246" t="n"/>
      <c r="BU33" s="246" t="n"/>
      <c r="BV33" s="246" t="n"/>
      <c r="BW33" s="246" t="n"/>
      <c r="BX33" s="246" t="n"/>
      <c r="BY33" s="246" t="n"/>
      <c r="BZ33" s="246" t="n"/>
      <c r="CA33" s="246" t="n"/>
      <c r="CB33" s="246" t="n"/>
      <c r="CC33" s="246" t="n"/>
      <c r="CD33" s="246" t="n"/>
      <c r="CE33" s="246" t="n"/>
      <c r="CF33" s="246" t="n"/>
      <c r="CG33" s="246" t="n"/>
    </row>
    <row r="34" ht="10.5" customHeight="1">
      <c r="A34" s="246" t="n"/>
      <c r="B34" s="1061" t="n"/>
      <c r="C34" s="1062" t="n"/>
      <c r="D34" s="695" t="inlineStr">
        <is>
          <t>権利種類</t>
        </is>
      </c>
      <c r="E34" s="1039" t="n"/>
      <c r="F34" s="1039" t="n"/>
      <c r="G34" s="1040" t="n"/>
      <c r="H34" s="1070" t="inlineStr">
        <is>
          <t>■</t>
        </is>
      </c>
      <c r="I34" s="1071" t="inlineStr">
        <is>
          <t>所有権</t>
        </is>
      </c>
      <c r="J34" s="1045" t="n"/>
      <c r="K34" s="1045" t="n"/>
      <c r="L34" s="1045" t="n"/>
      <c r="M34" s="1072" t="inlineStr">
        <is>
          <t>□</t>
        </is>
      </c>
      <c r="N34" s="1071" t="inlineStr">
        <is>
          <t>借地権（賃借権）</t>
        </is>
      </c>
      <c r="O34" s="1045" t="n"/>
      <c r="P34" s="1045" t="n"/>
      <c r="Q34" s="1045" t="n"/>
      <c r="R34" s="1045" t="n"/>
      <c r="S34" s="1045" t="n"/>
      <c r="T34" s="1045" t="n"/>
      <c r="U34" s="1045" t="n"/>
      <c r="V34" s="1072" t="inlineStr">
        <is>
          <t>□</t>
        </is>
      </c>
      <c r="W34" s="1073" t="inlineStr">
        <is>
          <t>借地権（地上権）</t>
        </is>
      </c>
      <c r="X34" s="1045" t="n"/>
      <c r="Y34" s="1045" t="n"/>
      <c r="Z34" s="1045" t="n"/>
      <c r="AA34" s="1045" t="n"/>
      <c r="AB34" s="1045" t="n"/>
      <c r="AC34" s="1045" t="n"/>
      <c r="AD34" s="1046" t="n"/>
      <c r="AE34" s="1074" t="inlineStr">
        <is>
          <t>地　目</t>
        </is>
      </c>
      <c r="AF34" s="1045" t="n"/>
      <c r="AG34" s="1045" t="n"/>
      <c r="AH34" s="1046" t="n"/>
      <c r="AI34" s="1075" t="inlineStr">
        <is>
          <t>公簿</t>
        </is>
      </c>
      <c r="AJ34" s="1046" t="n"/>
      <c r="AK34" s="1076" t="inlineStr">
        <is>
          <t>宅地</t>
        </is>
      </c>
      <c r="AL34" s="1042" t="n"/>
      <c r="AM34" s="1042" t="n"/>
      <c r="AN34" s="1042" t="n"/>
      <c r="AO34" s="1042" t="n"/>
      <c r="AP34" s="1075" t="inlineStr">
        <is>
          <t>現況</t>
        </is>
      </c>
      <c r="AQ34" s="1046" t="n"/>
      <c r="AR34" s="1047" t="inlineStr">
        <is>
          <t>宅地</t>
        </is>
      </c>
      <c r="AS34" s="1042" t="n"/>
      <c r="AT34" s="1042" t="n"/>
      <c r="AU34" s="1042" t="n"/>
      <c r="AV34" s="1042" t="n"/>
      <c r="AW34" s="1043" t="n"/>
      <c r="AX34" s="246" t="n"/>
      <c r="AY34" s="246" t="n"/>
      <c r="AZ34" s="246" t="n"/>
      <c r="BA34" s="246" t="n"/>
      <c r="BB34" s="246" t="n"/>
      <c r="BC34" s="246" t="n"/>
      <c r="BD34" s="246" t="n"/>
      <c r="BE34" s="246" t="n"/>
      <c r="BF34" s="246" t="n"/>
      <c r="BG34" s="246" t="n"/>
      <c r="BH34" s="246" t="n"/>
      <c r="BI34" s="246" t="n"/>
      <c r="BJ34" s="246" t="n"/>
      <c r="BK34" s="246" t="n"/>
      <c r="BL34" s="246" t="n"/>
      <c r="BM34" s="246" t="n"/>
      <c r="BN34" s="246" t="n"/>
      <c r="BO34" s="246" t="n"/>
      <c r="BP34" s="246" t="n"/>
      <c r="BQ34" s="246" t="n"/>
      <c r="BR34" s="246" t="n"/>
      <c r="BS34" s="246" t="n"/>
      <c r="BT34" s="246" t="n"/>
      <c r="BU34" s="246" t="n"/>
      <c r="BV34" s="246" t="n"/>
      <c r="BW34" s="246" t="n"/>
      <c r="BX34" s="246" t="n"/>
      <c r="BY34" s="246" t="n"/>
      <c r="BZ34" s="246" t="n"/>
      <c r="CA34" s="246" t="n"/>
      <c r="CB34" s="246" t="n"/>
      <c r="CC34" s="246" t="n"/>
      <c r="CD34" s="246" t="n"/>
      <c r="CE34" s="246" t="n"/>
      <c r="CF34" s="246" t="n"/>
      <c r="CG34" s="246" t="n"/>
    </row>
    <row r="35" ht="10.5" customHeight="1">
      <c r="A35" s="246" t="n"/>
      <c r="B35" s="1061" t="n"/>
      <c r="C35" s="1062" t="n"/>
      <c r="D35" s="1048" t="n"/>
      <c r="E35" s="1049" t="n"/>
      <c r="F35" s="1049" t="n"/>
      <c r="G35" s="1050" t="n"/>
      <c r="H35" s="1051" t="n"/>
      <c r="I35" s="1055" t="n"/>
      <c r="J35" s="1055" t="n"/>
      <c r="K35" s="1055" t="n"/>
      <c r="L35" s="1055" t="n"/>
      <c r="M35" s="1052" t="n"/>
      <c r="N35" s="1055" t="n"/>
      <c r="O35" s="1055" t="n"/>
      <c r="P35" s="1055" t="n"/>
      <c r="Q35" s="1055" t="n"/>
      <c r="R35" s="1055" t="n"/>
      <c r="S35" s="1055" t="n"/>
      <c r="T35" s="1055" t="n"/>
      <c r="U35" s="1055" t="n"/>
      <c r="V35" s="1052" t="n"/>
      <c r="W35" s="1055" t="n"/>
      <c r="X35" s="1055" t="n"/>
      <c r="Y35" s="1055" t="n"/>
      <c r="Z35" s="1055" t="n"/>
      <c r="AA35" s="1055" t="n"/>
      <c r="AB35" s="1055" t="n"/>
      <c r="AC35" s="1055" t="n"/>
      <c r="AD35" s="1056" t="n"/>
      <c r="AE35" s="1054" t="n"/>
      <c r="AF35" s="1055" t="n"/>
      <c r="AG35" s="1055" t="n"/>
      <c r="AH35" s="1056" t="n"/>
      <c r="AI35" s="1054" t="n"/>
      <c r="AJ35" s="1056" t="n"/>
      <c r="AK35" s="1052" t="n"/>
      <c r="AL35" s="1052" t="n"/>
      <c r="AM35" s="1052" t="n"/>
      <c r="AN35" s="1052" t="n"/>
      <c r="AO35" s="1052" t="n"/>
      <c r="AP35" s="1054" t="n"/>
      <c r="AQ35" s="1056" t="n"/>
      <c r="AR35" s="1051" t="n"/>
      <c r="AS35" s="1052" t="n"/>
      <c r="AT35" s="1052" t="n"/>
      <c r="AU35" s="1052" t="n"/>
      <c r="AV35" s="1052" t="n"/>
      <c r="AW35" s="1053" t="n"/>
      <c r="AX35" s="246" t="n"/>
      <c r="AY35" s="246" t="n"/>
      <c r="AZ35" s="246" t="n"/>
      <c r="BA35" s="246" t="n"/>
      <c r="BB35" s="246" t="n"/>
      <c r="BC35" s="246" t="n"/>
      <c r="BD35" s="246" t="n"/>
      <c r="BE35" s="246" t="n"/>
      <c r="BF35" s="246" t="n"/>
      <c r="BG35" s="246" t="n"/>
      <c r="BH35" s="246" t="n"/>
      <c r="BI35" s="246" t="n"/>
      <c r="BJ35" s="246" t="n"/>
      <c r="BK35" s="246" t="n"/>
      <c r="BL35" s="246" t="n"/>
      <c r="BM35" s="246" t="n"/>
      <c r="BN35" s="246" t="n"/>
      <c r="BO35" s="246" t="n"/>
      <c r="BP35" s="246" t="n"/>
      <c r="BQ35" s="246" t="n"/>
      <c r="BR35" s="246" t="n"/>
      <c r="BS35" s="246" t="n"/>
      <c r="BT35" s="246" t="n"/>
      <c r="BU35" s="246" t="n"/>
      <c r="BV35" s="246" t="n"/>
      <c r="BW35" s="246" t="n"/>
      <c r="BX35" s="246" t="n"/>
      <c r="BY35" s="246" t="n"/>
      <c r="BZ35" s="246" t="n"/>
      <c r="CA35" s="246" t="n"/>
      <c r="CB35" s="246" t="n"/>
      <c r="CC35" s="246" t="n"/>
      <c r="CD35" s="246" t="n"/>
      <c r="CE35" s="246" t="n"/>
      <c r="CF35" s="246" t="n"/>
      <c r="CG35" s="246" t="n"/>
    </row>
    <row r="36" ht="10.5" customHeight="1">
      <c r="A36" s="246" t="n"/>
      <c r="B36" s="1061" t="n"/>
      <c r="C36" s="1062" t="n"/>
      <c r="D36" s="695" t="inlineStr">
        <is>
          <t>地  積</t>
        </is>
      </c>
      <c r="E36" s="1039" t="n"/>
      <c r="F36" s="1039" t="n"/>
      <c r="G36" s="1040" t="n"/>
      <c r="H36" s="605" t="inlineStr">
        <is>
          <t>（登記簿）</t>
        </is>
      </c>
      <c r="M36" s="781">
        <f>①物件情報入力シート!C5</f>
        <v/>
      </c>
      <c r="N36" s="939" t="n"/>
      <c r="O36" s="939" t="n"/>
      <c r="P36" s="939" t="n"/>
      <c r="Q36" s="939" t="n"/>
      <c r="R36" s="939" t="n"/>
      <c r="S36" s="939" t="n"/>
      <c r="T36" s="939" t="n"/>
      <c r="U36" s="939" t="n"/>
      <c r="V36" s="939" t="n"/>
      <c r="W36" s="939" t="n"/>
      <c r="X36" s="939" t="n"/>
      <c r="Y36" s="939" t="n"/>
      <c r="Z36" s="939" t="n"/>
      <c r="AA36" s="782" t="inlineStr">
        <is>
          <t>㎡</t>
        </is>
      </c>
      <c r="AB36" s="1062" t="n"/>
      <c r="AC36" s="779" t="inlineStr">
        <is>
          <t>（実  測）</t>
        </is>
      </c>
      <c r="AH36" s="678" t="n"/>
      <c r="AI36" s="1042" t="n"/>
      <c r="AJ36" s="1042" t="n"/>
      <c r="AK36" s="1042" t="n"/>
      <c r="AL36" s="1042" t="n"/>
      <c r="AM36" s="1042" t="n"/>
      <c r="AN36" s="1042" t="n"/>
      <c r="AO36" s="1042" t="n"/>
      <c r="AP36" s="1042" t="n"/>
      <c r="AQ36" s="1042" t="n"/>
      <c r="AR36" s="1042" t="n"/>
      <c r="AS36" s="1042" t="n"/>
      <c r="AT36" s="1042" t="n"/>
      <c r="AU36" s="1042" t="n"/>
      <c r="AV36" s="675" t="inlineStr">
        <is>
          <t>㎡</t>
        </is>
      </c>
      <c r="AW36" s="1046" t="n"/>
      <c r="AX36" s="246" t="n"/>
      <c r="AY36" s="246" t="n"/>
      <c r="AZ36" s="246" t="n"/>
      <c r="BA36" s="246" t="n"/>
      <c r="BB36" s="246" t="n"/>
      <c r="BC36" s="246" t="n"/>
      <c r="BD36" s="246" t="n"/>
      <c r="BE36" s="246" t="n"/>
      <c r="BF36" s="246" t="n"/>
      <c r="BG36" s="246" t="n"/>
      <c r="BH36" s="246" t="n"/>
      <c r="BI36" s="246" t="n"/>
      <c r="BJ36" s="246" t="n"/>
      <c r="BK36" s="246" t="n"/>
      <c r="BL36" s="246" t="n"/>
      <c r="BM36" s="246" t="n"/>
      <c r="BN36" s="246" t="n"/>
      <c r="BO36" s="246" t="n"/>
      <c r="BP36" s="246" t="n"/>
      <c r="BQ36" s="246" t="n"/>
      <c r="BR36" s="246" t="n"/>
      <c r="BS36" s="246" t="n"/>
      <c r="BT36" s="246" t="n"/>
      <c r="BU36" s="246" t="n"/>
      <c r="BV36" s="246" t="n"/>
      <c r="BW36" s="246" t="n"/>
      <c r="BX36" s="246" t="n"/>
      <c r="BY36" s="246" t="n"/>
      <c r="BZ36" s="246" t="n"/>
      <c r="CA36" s="246" t="n"/>
      <c r="CB36" s="246" t="n"/>
      <c r="CC36" s="246" t="n"/>
      <c r="CD36" s="246" t="n"/>
      <c r="CE36" s="246" t="n"/>
      <c r="CF36" s="246" t="n"/>
      <c r="CG36" s="246" t="n"/>
    </row>
    <row r="37" ht="10.5" customHeight="1">
      <c r="A37" s="246" t="n"/>
      <c r="B37" s="1061" t="n"/>
      <c r="C37" s="1062" t="n"/>
      <c r="D37" s="1048" t="n"/>
      <c r="E37" s="1049" t="n"/>
      <c r="F37" s="1049" t="n"/>
      <c r="G37" s="1050" t="n"/>
      <c r="H37" s="1054" t="n"/>
      <c r="I37" s="1055" t="n"/>
      <c r="J37" s="1055" t="n"/>
      <c r="K37" s="1055" t="n"/>
      <c r="L37" s="1055" t="n"/>
      <c r="M37" s="939" t="n"/>
      <c r="N37" s="939" t="n"/>
      <c r="O37" s="939" t="n"/>
      <c r="P37" s="939" t="n"/>
      <c r="Q37" s="939" t="n"/>
      <c r="R37" s="939" t="n"/>
      <c r="S37" s="939" t="n"/>
      <c r="T37" s="939" t="n"/>
      <c r="U37" s="939" t="n"/>
      <c r="V37" s="939" t="n"/>
      <c r="W37" s="939" t="n"/>
      <c r="X37" s="939" t="n"/>
      <c r="Y37" s="939" t="n"/>
      <c r="Z37" s="939" t="n"/>
      <c r="AB37" s="1062" t="n"/>
      <c r="AC37" s="1061" t="n"/>
      <c r="AH37" s="939" t="n"/>
      <c r="AI37" s="939" t="n"/>
      <c r="AJ37" s="939" t="n"/>
      <c r="AK37" s="939" t="n"/>
      <c r="AL37" s="939" t="n"/>
      <c r="AM37" s="939" t="n"/>
      <c r="AN37" s="939" t="n"/>
      <c r="AO37" s="939" t="n"/>
      <c r="AP37" s="939" t="n"/>
      <c r="AQ37" s="939" t="n"/>
      <c r="AR37" s="939" t="n"/>
      <c r="AS37" s="939" t="n"/>
      <c r="AT37" s="939" t="n"/>
      <c r="AU37" s="939" t="n"/>
      <c r="AW37" s="1062" t="n"/>
      <c r="AX37" s="246" t="n"/>
      <c r="AY37" s="246" t="n"/>
      <c r="AZ37" s="246" t="n"/>
      <c r="BA37" s="246" t="n"/>
      <c r="BB37" s="246" t="n"/>
      <c r="BC37" s="246" t="n"/>
      <c r="BD37" s="246" t="n"/>
      <c r="BE37" s="246" t="n"/>
      <c r="BF37" s="246" t="n"/>
      <c r="BG37" s="246" t="n"/>
      <c r="BH37" s="246" t="n"/>
      <c r="BI37" s="246" t="n"/>
      <c r="BJ37" s="246" t="n"/>
      <c r="BK37" s="246" t="n"/>
      <c r="BL37" s="246" t="n"/>
      <c r="BM37" s="246" t="n"/>
      <c r="BN37" s="246" t="n"/>
      <c r="BO37" s="246" t="n"/>
      <c r="BP37" s="246" t="n"/>
      <c r="BQ37" s="246" t="n"/>
      <c r="BR37" s="246" t="n"/>
      <c r="BS37" s="246" t="n"/>
      <c r="BT37" s="246" t="n"/>
      <c r="BU37" s="246" t="n"/>
      <c r="BV37" s="246" t="n"/>
      <c r="BW37" s="246" t="n"/>
      <c r="BX37" s="246" t="n"/>
      <c r="BY37" s="246" t="n"/>
      <c r="BZ37" s="246" t="n"/>
      <c r="CA37" s="246" t="n"/>
      <c r="CB37" s="246" t="n"/>
      <c r="CC37" s="246" t="n"/>
      <c r="CD37" s="246" t="n"/>
      <c r="CE37" s="246" t="n"/>
      <c r="CF37" s="246" t="n"/>
      <c r="CG37" s="246" t="n"/>
    </row>
    <row r="38" ht="10.5" customHeight="1">
      <c r="A38" s="246" t="n"/>
      <c r="B38" s="1061" t="n"/>
      <c r="C38" s="1062" t="n"/>
      <c r="D38" s="1077" t="inlineStr">
        <is>
          <t>借地権の場合 借地対象面積</t>
        </is>
      </c>
      <c r="E38" s="1045" t="n"/>
      <c r="F38" s="1045" t="n"/>
      <c r="G38" s="1045" t="n"/>
      <c r="H38" s="1045" t="n"/>
      <c r="I38" s="1045" t="n"/>
      <c r="J38" s="1045" t="n"/>
      <c r="K38" s="1045" t="n"/>
      <c r="L38" s="1045" t="n"/>
      <c r="M38" s="1045" t="n"/>
      <c r="N38" s="1046" t="n"/>
      <c r="O38" s="1078" t="inlineStr">
        <is>
          <t>-</t>
        </is>
      </c>
      <c r="P38" s="1042" t="n"/>
      <c r="Q38" s="1042" t="n"/>
      <c r="R38" s="1042" t="n"/>
      <c r="S38" s="1042" t="n"/>
      <c r="T38" s="1042" t="n"/>
      <c r="U38" s="1042" t="n"/>
      <c r="V38" s="1042" t="n"/>
      <c r="W38" s="1042" t="n"/>
      <c r="X38" s="1042" t="n"/>
      <c r="Y38" s="1042" t="n"/>
      <c r="Z38" s="1042" t="n"/>
      <c r="AA38" s="1073" t="inlineStr">
        <is>
          <t>㎡</t>
        </is>
      </c>
      <c r="AB38" s="1046" t="n"/>
      <c r="AC38" s="257" t="n"/>
      <c r="AD38" s="257" t="n"/>
      <c r="AE38" s="257" t="n"/>
      <c r="AF38" s="257" t="n"/>
      <c r="AG38" s="257" t="n"/>
      <c r="AH38" s="257" t="n"/>
      <c r="AI38" s="257" t="n"/>
      <c r="AJ38" s="257" t="n"/>
      <c r="AK38" s="257" t="n"/>
      <c r="AL38" s="257" t="n"/>
      <c r="AM38" s="257" t="n"/>
      <c r="AN38" s="257" t="n"/>
      <c r="AO38" s="257" t="n"/>
      <c r="AP38" s="257" t="n"/>
      <c r="AQ38" s="257" t="n"/>
      <c r="AR38" s="257" t="n"/>
      <c r="AS38" s="257" t="n"/>
      <c r="AT38" s="257" t="n"/>
      <c r="AU38" s="257" t="n"/>
      <c r="AV38" s="258" t="n"/>
      <c r="AW38" s="259" t="n"/>
      <c r="AX38" s="246" t="n"/>
      <c r="AY38" s="246" t="n"/>
      <c r="AZ38" s="246" t="n"/>
      <c r="BA38" s="246" t="n"/>
      <c r="BB38" s="246" t="n"/>
      <c r="BC38" s="246" t="n"/>
      <c r="BD38" s="246" t="n"/>
      <c r="BE38" s="246" t="n"/>
      <c r="BF38" s="246" t="n"/>
      <c r="BG38" s="246" t="n"/>
      <c r="BH38" s="246" t="n"/>
      <c r="BI38" s="246" t="n"/>
      <c r="BJ38" s="246" t="n"/>
      <c r="BK38" s="246" t="n"/>
      <c r="BL38" s="246" t="n"/>
      <c r="BM38" s="246" t="n"/>
      <c r="BN38" s="246" t="n"/>
      <c r="BO38" s="246" t="n"/>
      <c r="BP38" s="246" t="n"/>
      <c r="BQ38" s="246" t="n"/>
      <c r="BR38" s="246" t="n"/>
      <c r="BS38" s="246" t="n"/>
      <c r="BT38" s="246" t="n"/>
      <c r="BU38" s="246" t="n"/>
      <c r="BV38" s="246" t="n"/>
      <c r="BW38" s="246" t="n"/>
      <c r="BX38" s="246" t="n"/>
      <c r="BY38" s="246" t="n"/>
      <c r="BZ38" s="246" t="n"/>
      <c r="CA38" s="246" t="n"/>
      <c r="CB38" s="246" t="n"/>
      <c r="CC38" s="246" t="n"/>
      <c r="CD38" s="246" t="n"/>
      <c r="CE38" s="246" t="n"/>
      <c r="CF38" s="246" t="n"/>
      <c r="CG38" s="246" t="n"/>
    </row>
    <row r="39" ht="10.5" customHeight="1">
      <c r="A39" s="246" t="n"/>
      <c r="B39" s="1061" t="n"/>
      <c r="C39" s="1062" t="n"/>
      <c r="D39" s="1054" t="n"/>
      <c r="E39" s="1055" t="n"/>
      <c r="F39" s="1055" t="n"/>
      <c r="G39" s="1055" t="n"/>
      <c r="H39" s="1055" t="n"/>
      <c r="I39" s="1055" t="n"/>
      <c r="J39" s="1055" t="n"/>
      <c r="K39" s="1055" t="n"/>
      <c r="L39" s="1055" t="n"/>
      <c r="M39" s="1055" t="n"/>
      <c r="N39" s="1056" t="n"/>
      <c r="O39" s="1051" t="n"/>
      <c r="P39" s="1052" t="n"/>
      <c r="Q39" s="1052" t="n"/>
      <c r="R39" s="1052" t="n"/>
      <c r="S39" s="1052" t="n"/>
      <c r="T39" s="1052" t="n"/>
      <c r="U39" s="1052" t="n"/>
      <c r="V39" s="1052" t="n"/>
      <c r="W39" s="1052" t="n"/>
      <c r="X39" s="1052" t="n"/>
      <c r="Y39" s="1052" t="n"/>
      <c r="Z39" s="1052" t="n"/>
      <c r="AA39" s="1055" t="n"/>
      <c r="AB39" s="1056" t="n"/>
      <c r="AC39" s="260" t="n"/>
      <c r="AD39" s="260" t="n"/>
      <c r="AE39" s="260" t="n"/>
      <c r="AF39" s="260" t="n"/>
      <c r="AG39" s="260" t="n"/>
      <c r="AH39" s="260" t="n"/>
      <c r="AI39" s="260" t="n"/>
      <c r="AJ39" s="260" t="n"/>
      <c r="AK39" s="260" t="n"/>
      <c r="AL39" s="260" t="n"/>
      <c r="AM39" s="260" t="n"/>
      <c r="AN39" s="260" t="n"/>
      <c r="AO39" s="260" t="n"/>
      <c r="AP39" s="260" t="n"/>
      <c r="AQ39" s="260" t="n"/>
      <c r="AR39" s="260" t="n"/>
      <c r="AS39" s="260" t="n"/>
      <c r="AT39" s="260" t="n"/>
      <c r="AU39" s="260" t="n"/>
      <c r="AV39" s="261" t="n"/>
      <c r="AW39" s="262" t="n"/>
      <c r="AX39" s="246" t="n"/>
      <c r="AY39" s="246" t="n"/>
      <c r="AZ39" s="246" t="n"/>
      <c r="BA39" s="246" t="n"/>
      <c r="BB39" s="246" t="n"/>
      <c r="BC39" s="246" t="n"/>
      <c r="BD39" s="246" t="n"/>
      <c r="BE39" s="246" t="n"/>
      <c r="BF39" s="246" t="n"/>
      <c r="BG39" s="246" t="n"/>
      <c r="BH39" s="246" t="n"/>
      <c r="BI39" s="246" t="n"/>
      <c r="BJ39" s="246" t="n"/>
      <c r="BK39" s="246" t="n"/>
      <c r="BL39" s="246" t="n"/>
      <c r="BM39" s="246" t="n"/>
      <c r="BN39" s="246" t="n"/>
      <c r="BO39" s="246" t="n"/>
      <c r="BP39" s="246" t="n"/>
      <c r="BQ39" s="246" t="n"/>
      <c r="BR39" s="246" t="n"/>
      <c r="BS39" s="246" t="n"/>
      <c r="BT39" s="246" t="n"/>
      <c r="BU39" s="246" t="n"/>
      <c r="BV39" s="246" t="n"/>
      <c r="BW39" s="246" t="n"/>
      <c r="BX39" s="246" t="n"/>
      <c r="BY39" s="246" t="n"/>
      <c r="BZ39" s="246" t="n"/>
      <c r="CA39" s="246" t="n"/>
      <c r="CB39" s="246" t="n"/>
      <c r="CC39" s="246" t="n"/>
      <c r="CD39" s="246" t="n"/>
      <c r="CE39" s="246" t="n"/>
      <c r="CF39" s="246" t="n"/>
      <c r="CG39" s="246" t="n"/>
    </row>
    <row r="40" ht="10.5" customHeight="1">
      <c r="A40" s="246" t="n"/>
      <c r="B40" s="1061" t="n"/>
      <c r="C40" s="1062" t="n"/>
      <c r="D40" s="695" t="inlineStr">
        <is>
          <t>都市計画</t>
        </is>
      </c>
      <c r="E40" s="1039" t="n"/>
      <c r="F40" s="1039" t="n"/>
      <c r="G40" s="1040" t="n"/>
      <c r="H40" s="1079" t="inlineStr">
        <is>
          <t>市街化区域</t>
        </is>
      </c>
      <c r="I40" s="1042" t="n"/>
      <c r="J40" s="1042" t="n"/>
      <c r="K40" s="1042" t="n"/>
      <c r="L40" s="1042" t="n"/>
      <c r="M40" s="1042" t="n"/>
      <c r="N40" s="1042" t="n"/>
      <c r="O40" s="1042" t="n"/>
      <c r="P40" s="1042" t="n"/>
      <c r="Q40" s="1042" t="n"/>
      <c r="R40" s="1042" t="n"/>
      <c r="S40" s="1042" t="n"/>
      <c r="T40" s="1042" t="n"/>
      <c r="U40" s="1042" t="n"/>
      <c r="V40" s="1042" t="n"/>
      <c r="W40" s="1043" t="n"/>
      <c r="X40" s="732" t="inlineStr">
        <is>
          <t>用途地域</t>
        </is>
      </c>
      <c r="AA40" s="1080" t="n"/>
      <c r="AB40" s="1081">
        <f>①物件情報入力シート!C6</f>
        <v/>
      </c>
      <c r="AC40" s="939" t="n"/>
      <c r="AD40" s="939" t="n"/>
      <c r="AE40" s="939" t="n"/>
      <c r="AF40" s="939" t="n"/>
      <c r="AG40" s="939" t="n"/>
      <c r="AH40" s="939" t="n"/>
      <c r="AI40" s="939" t="n"/>
      <c r="AJ40" s="939" t="n"/>
      <c r="AK40" s="939" t="n"/>
      <c r="AL40" s="939" t="n"/>
      <c r="AM40" s="939" t="n"/>
      <c r="AN40" s="939" t="n"/>
      <c r="AO40" s="939" t="n"/>
      <c r="AP40" s="939" t="n"/>
      <c r="AQ40" s="939" t="n"/>
      <c r="AR40" s="939" t="n"/>
      <c r="AS40" s="939" t="n"/>
      <c r="AT40" s="939" t="n"/>
      <c r="AU40" s="939" t="n"/>
      <c r="AV40" s="939" t="n"/>
      <c r="AW40" s="1060" t="n"/>
      <c r="AX40" s="246" t="n"/>
      <c r="AY40" s="246" t="n"/>
      <c r="AZ40" s="246" t="n"/>
      <c r="BA40" s="246" t="n"/>
      <c r="BB40" s="246" t="n"/>
      <c r="BC40" s="246" t="n"/>
      <c r="BD40" s="246" t="n"/>
      <c r="BE40" s="246" t="n"/>
      <c r="BF40" s="246" t="n"/>
      <c r="BG40" s="246" t="n"/>
      <c r="BH40" s="246" t="n"/>
      <c r="BI40" s="246" t="n"/>
      <c r="BJ40" s="246" t="n"/>
      <c r="BK40" s="246" t="n"/>
      <c r="BL40" s="246" t="n"/>
      <c r="BM40" s="246" t="n"/>
      <c r="BN40" s="246" t="n"/>
      <c r="BO40" s="246" t="n"/>
      <c r="BP40" s="246" t="n"/>
      <c r="BQ40" s="246" t="n"/>
      <c r="BR40" s="246" t="n"/>
      <c r="BS40" s="246" t="n"/>
      <c r="BT40" s="246" t="n"/>
      <c r="BU40" s="246" t="n"/>
      <c r="BV40" s="246" t="n"/>
      <c r="BW40" s="246" t="n"/>
      <c r="BX40" s="246" t="n"/>
      <c r="BY40" s="246" t="n"/>
      <c r="BZ40" s="246" t="n"/>
      <c r="CA40" s="246" t="n"/>
      <c r="CB40" s="246" t="n"/>
      <c r="CC40" s="246" t="n"/>
      <c r="CD40" s="246" t="n"/>
      <c r="CE40" s="246" t="n"/>
      <c r="CF40" s="246" t="n"/>
      <c r="CG40" s="246" t="n"/>
    </row>
    <row r="41" ht="10.5" customHeight="1">
      <c r="A41" s="246" t="n"/>
      <c r="B41" s="1061" t="n"/>
      <c r="C41" s="1062" t="n"/>
      <c r="D41" s="1048" t="n"/>
      <c r="E41" s="1049" t="n"/>
      <c r="F41" s="1049" t="n"/>
      <c r="G41" s="1050" t="n"/>
      <c r="H41" s="1082" t="n"/>
      <c r="I41" s="939" t="n"/>
      <c r="J41" s="939" t="n"/>
      <c r="K41" s="939" t="n"/>
      <c r="L41" s="939" t="n"/>
      <c r="M41" s="939" t="n"/>
      <c r="N41" s="939" t="n"/>
      <c r="O41" s="939" t="n"/>
      <c r="P41" s="939" t="n"/>
      <c r="Q41" s="939" t="n"/>
      <c r="R41" s="939" t="n"/>
      <c r="S41" s="939" t="n"/>
      <c r="T41" s="939" t="n"/>
      <c r="U41" s="939" t="n"/>
      <c r="V41" s="939" t="n"/>
      <c r="W41" s="1060" t="n"/>
      <c r="X41" s="1048" t="n"/>
      <c r="Y41" s="1049" t="n"/>
      <c r="Z41" s="1049" t="n"/>
      <c r="AA41" s="1050" t="n"/>
      <c r="AB41" s="1082" t="n"/>
      <c r="AC41" s="939" t="n"/>
      <c r="AD41" s="939" t="n"/>
      <c r="AE41" s="939" t="n"/>
      <c r="AF41" s="939" t="n"/>
      <c r="AG41" s="939" t="n"/>
      <c r="AH41" s="939" t="n"/>
      <c r="AI41" s="939" t="n"/>
      <c r="AJ41" s="939" t="n"/>
      <c r="AK41" s="939" t="n"/>
      <c r="AL41" s="939" t="n"/>
      <c r="AM41" s="939" t="n"/>
      <c r="AN41" s="939" t="n"/>
      <c r="AO41" s="939" t="n"/>
      <c r="AP41" s="939" t="n"/>
      <c r="AQ41" s="939" t="n"/>
      <c r="AR41" s="939" t="n"/>
      <c r="AS41" s="939" t="n"/>
      <c r="AT41" s="939" t="n"/>
      <c r="AU41" s="939" t="n"/>
      <c r="AV41" s="939" t="n"/>
      <c r="AW41" s="1060" t="n"/>
      <c r="AX41" s="246" t="n"/>
      <c r="AY41" s="246" t="n"/>
      <c r="AZ41" s="246" t="n"/>
      <c r="BA41" s="246" t="n"/>
      <c r="BB41" s="246" t="n"/>
      <c r="BC41" s="246" t="n"/>
      <c r="BD41" s="246" t="n"/>
      <c r="BE41" s="246" t="n"/>
      <c r="BF41" s="246" t="n"/>
      <c r="BG41" s="246" t="n"/>
      <c r="BH41" s="246" t="n"/>
      <c r="BI41" s="246" t="n"/>
      <c r="BJ41" s="246" t="n"/>
      <c r="BK41" s="246" t="n"/>
      <c r="BL41" s="246" t="n"/>
      <c r="BM41" s="246" t="n"/>
      <c r="BN41" s="246" t="n"/>
      <c r="BO41" s="246" t="n"/>
      <c r="BP41" s="246" t="n"/>
      <c r="BQ41" s="246" t="n"/>
      <c r="BR41" s="246" t="n"/>
      <c r="BS41" s="246" t="n"/>
      <c r="BT41" s="246" t="n"/>
      <c r="BU41" s="246" t="n"/>
      <c r="BV41" s="246" t="n"/>
      <c r="BW41" s="246" t="n"/>
      <c r="BX41" s="246" t="n"/>
      <c r="BY41" s="246" t="n"/>
      <c r="BZ41" s="246" t="n"/>
      <c r="CA41" s="246" t="n"/>
      <c r="CB41" s="246" t="n"/>
      <c r="CC41" s="246" t="n"/>
      <c r="CD41" s="246" t="n"/>
      <c r="CE41" s="246" t="n"/>
      <c r="CF41" s="246" t="n"/>
      <c r="CG41" s="246" t="n"/>
    </row>
    <row r="42" ht="10.5" customHeight="1">
      <c r="A42" s="246" t="n"/>
      <c r="B42" s="1061" t="n"/>
      <c r="C42" s="1062" t="n"/>
      <c r="D42" s="1077" t="inlineStr">
        <is>
          <t>地域・地区・街区</t>
        </is>
      </c>
      <c r="E42" s="1045" t="n"/>
      <c r="F42" s="1045" t="n"/>
      <c r="G42" s="1045" t="n"/>
      <c r="H42" s="1045" t="n"/>
      <c r="I42" s="1045" t="n"/>
      <c r="J42" s="1046" t="n"/>
      <c r="K42" s="560" t="n"/>
      <c r="L42" s="1042" t="n"/>
      <c r="M42" s="1042" t="n"/>
      <c r="N42" s="1042" t="n"/>
      <c r="O42" s="1042" t="n"/>
      <c r="P42" s="1042" t="n"/>
      <c r="Q42" s="1042" t="n"/>
      <c r="R42" s="1042" t="n"/>
      <c r="S42" s="1042" t="n"/>
      <c r="T42" s="1042" t="n"/>
      <c r="U42" s="1042" t="n"/>
      <c r="V42" s="1042" t="n"/>
      <c r="W42" s="1042" t="n"/>
      <c r="X42" s="1042" t="n"/>
      <c r="Y42" s="1042" t="n"/>
      <c r="Z42" s="1042" t="n"/>
      <c r="AA42" s="1043" t="n"/>
      <c r="AB42" s="695" t="inlineStr">
        <is>
          <t>建蔽率</t>
        </is>
      </c>
      <c r="AC42" s="1039" t="n"/>
      <c r="AD42" s="1039" t="n"/>
      <c r="AE42" s="1040" t="n"/>
      <c r="AF42" s="1083">
        <f>①物件情報入力シート!C7</f>
        <v/>
      </c>
      <c r="AG42" s="1042" t="n"/>
      <c r="AH42" s="1042" t="n"/>
      <c r="AI42" s="1042" t="n"/>
      <c r="AJ42" s="1042" t="n"/>
      <c r="AK42" s="1073" t="inlineStr">
        <is>
          <t>％</t>
        </is>
      </c>
      <c r="AL42" s="1046" t="n"/>
      <c r="AM42" s="695" t="inlineStr">
        <is>
          <t>容積率</t>
        </is>
      </c>
      <c r="AN42" s="1039" t="n"/>
      <c r="AO42" s="1039" t="n"/>
      <c r="AP42" s="1040" t="n"/>
      <c r="AQ42" s="1083">
        <f>①物件情報入力シート!C8</f>
        <v/>
      </c>
      <c r="AR42" s="1042" t="n"/>
      <c r="AS42" s="1042" t="n"/>
      <c r="AT42" s="1042" t="n"/>
      <c r="AU42" s="1042" t="n"/>
      <c r="AV42" s="1073" t="inlineStr">
        <is>
          <t>％</t>
        </is>
      </c>
      <c r="AW42" s="1046" t="n"/>
      <c r="AX42" s="246" t="n"/>
      <c r="AY42" s="246" t="n"/>
      <c r="AZ42" s="246" t="n"/>
      <c r="BA42" s="246" t="n"/>
      <c r="BB42" s="246" t="n"/>
      <c r="BC42" s="246" t="n"/>
      <c r="BD42" s="246" t="n"/>
      <c r="BE42" s="246" t="n"/>
      <c r="BF42" s="246" t="n"/>
      <c r="BG42" s="246" t="n"/>
      <c r="BH42" s="246" t="n"/>
      <c r="BI42" s="246" t="n"/>
      <c r="BJ42" s="246" t="n"/>
      <c r="BK42" s="246" t="n"/>
      <c r="BL42" s="246" t="n"/>
      <c r="BM42" s="246" t="n"/>
      <c r="BN42" s="246" t="n"/>
      <c r="BO42" s="246" t="n"/>
      <c r="BP42" s="246" t="n"/>
      <c r="BQ42" s="246" t="n"/>
      <c r="BR42" s="246" t="n"/>
      <c r="BS42" s="246" t="n"/>
      <c r="BT42" s="246" t="n"/>
      <c r="BU42" s="246" t="n"/>
      <c r="BV42" s="246" t="n"/>
      <c r="BW42" s="246" t="n"/>
      <c r="BX42" s="246" t="n"/>
      <c r="BY42" s="246" t="n"/>
      <c r="BZ42" s="246" t="n"/>
      <c r="CA42" s="246" t="n"/>
      <c r="CB42" s="246" t="n"/>
      <c r="CC42" s="246" t="n"/>
      <c r="CD42" s="246" t="n"/>
      <c r="CE42" s="246" t="n"/>
      <c r="CF42" s="246" t="n"/>
      <c r="CG42" s="246" t="n"/>
    </row>
    <row r="43" ht="10.5" customHeight="1">
      <c r="A43" s="246" t="n"/>
      <c r="B43" s="1061" t="n"/>
      <c r="C43" s="1062" t="n"/>
      <c r="D43" s="1054" t="n"/>
      <c r="E43" s="1055" t="n"/>
      <c r="F43" s="1055" t="n"/>
      <c r="G43" s="1055" t="n"/>
      <c r="H43" s="1055" t="n"/>
      <c r="I43" s="1055" t="n"/>
      <c r="J43" s="1056" t="n"/>
      <c r="K43" s="1051" t="n"/>
      <c r="L43" s="1052" t="n"/>
      <c r="M43" s="1052" t="n"/>
      <c r="N43" s="1052" t="n"/>
      <c r="O43" s="1052" t="n"/>
      <c r="P43" s="1052" t="n"/>
      <c r="Q43" s="1052" t="n"/>
      <c r="R43" s="1052" t="n"/>
      <c r="S43" s="1052" t="n"/>
      <c r="T43" s="1052" t="n"/>
      <c r="U43" s="1052" t="n"/>
      <c r="V43" s="1052" t="n"/>
      <c r="W43" s="1052" t="n"/>
      <c r="X43" s="1052" t="n"/>
      <c r="Y43" s="1052" t="n"/>
      <c r="Z43" s="1052" t="n"/>
      <c r="AA43" s="1053" t="n"/>
      <c r="AB43" s="1048" t="n"/>
      <c r="AC43" s="1049" t="n"/>
      <c r="AD43" s="1049" t="n"/>
      <c r="AE43" s="1050" t="n"/>
      <c r="AF43" s="1051" t="n"/>
      <c r="AG43" s="1052" t="n"/>
      <c r="AH43" s="1052" t="n"/>
      <c r="AI43" s="1052" t="n"/>
      <c r="AJ43" s="1052" t="n"/>
      <c r="AK43" s="1055" t="n"/>
      <c r="AL43" s="1056" t="n"/>
      <c r="AM43" s="1048" t="n"/>
      <c r="AN43" s="1049" t="n"/>
      <c r="AO43" s="1049" t="n"/>
      <c r="AP43" s="1050" t="n"/>
      <c r="AQ43" s="1051" t="n"/>
      <c r="AR43" s="1052" t="n"/>
      <c r="AS43" s="1052" t="n"/>
      <c r="AT43" s="1052" t="n"/>
      <c r="AU43" s="1052" t="n"/>
      <c r="AV43" s="1055" t="n"/>
      <c r="AW43" s="1056" t="n"/>
      <c r="AX43" s="246" t="n"/>
      <c r="AY43" s="246" t="n"/>
      <c r="AZ43" s="246" t="n"/>
      <c r="BA43" s="246" t="n"/>
      <c r="BB43" s="246" t="n"/>
      <c r="BC43" s="246" t="n"/>
      <c r="BD43" s="246" t="n"/>
      <c r="BE43" s="246" t="n"/>
      <c r="BF43" s="246" t="n"/>
      <c r="BG43" s="246" t="n"/>
      <c r="BH43" s="246" t="n"/>
      <c r="BI43" s="246" t="n"/>
      <c r="BJ43" s="246" t="n"/>
      <c r="BK43" s="246" t="n"/>
      <c r="BL43" s="246" t="n"/>
      <c r="BM43" s="246" t="n"/>
      <c r="BN43" s="246" t="n"/>
      <c r="BO43" s="246" t="n"/>
      <c r="BP43" s="246" t="n"/>
      <c r="BQ43" s="246" t="n"/>
      <c r="BR43" s="246" t="n"/>
      <c r="BS43" s="246" t="n"/>
      <c r="BT43" s="246" t="n"/>
      <c r="BU43" s="246" t="n"/>
      <c r="BV43" s="246" t="n"/>
      <c r="BW43" s="246" t="n"/>
      <c r="BX43" s="246" t="n"/>
      <c r="BY43" s="246" t="n"/>
      <c r="BZ43" s="246" t="n"/>
      <c r="CA43" s="246" t="n"/>
      <c r="CB43" s="246" t="n"/>
      <c r="CC43" s="246" t="n"/>
      <c r="CD43" s="246" t="n"/>
      <c r="CE43" s="246" t="n"/>
      <c r="CF43" s="246" t="n"/>
      <c r="CG43" s="246" t="n"/>
    </row>
    <row r="44" ht="10.5" customHeight="1">
      <c r="A44" s="246" t="n"/>
      <c r="B44" s="1061" t="n"/>
      <c r="C44" s="1062" t="n"/>
      <c r="D44" s="1074" t="inlineStr">
        <is>
          <t>形  状</t>
        </is>
      </c>
      <c r="E44" s="1045" t="n"/>
      <c r="F44" s="1045" t="n"/>
      <c r="G44" s="1046" t="n"/>
      <c r="H44" s="1084" t="inlineStr">
        <is>
          <t>整形地</t>
        </is>
      </c>
      <c r="I44" s="1042" t="n"/>
      <c r="J44" s="1042" t="n"/>
      <c r="K44" s="1042" t="n"/>
      <c r="L44" s="1042" t="n"/>
      <c r="M44" s="1042" t="n"/>
      <c r="N44" s="1042" t="n"/>
      <c r="O44" s="1042" t="n"/>
      <c r="P44" s="1042" t="n"/>
      <c r="Q44" s="1042" t="n"/>
      <c r="R44" s="1042" t="n"/>
      <c r="S44" s="1042" t="n"/>
      <c r="T44" s="1042" t="n"/>
      <c r="U44" s="1042" t="n"/>
      <c r="V44" s="1042" t="n"/>
      <c r="W44" s="1042" t="n"/>
      <c r="X44" s="1042" t="n"/>
      <c r="Y44" s="1042" t="n"/>
      <c r="Z44" s="1042" t="n"/>
      <c r="AA44" s="1042" t="n"/>
      <c r="AB44" s="1042" t="n"/>
      <c r="AC44" s="1042" t="n"/>
      <c r="AD44" s="1042" t="n"/>
      <c r="AE44" s="1042" t="n"/>
      <c r="AF44" s="1042" t="n"/>
      <c r="AG44" s="1042" t="n"/>
      <c r="AH44" s="1042" t="n"/>
      <c r="AI44" s="1042" t="n"/>
      <c r="AJ44" s="1042" t="n"/>
      <c r="AK44" s="1042" t="n"/>
      <c r="AL44" s="1042" t="n"/>
      <c r="AM44" s="1042" t="n"/>
      <c r="AN44" s="1042" t="n"/>
      <c r="AO44" s="1042" t="n"/>
      <c r="AP44" s="1042" t="n"/>
      <c r="AQ44" s="1042" t="n"/>
      <c r="AR44" s="1042" t="n"/>
      <c r="AS44" s="1042" t="n"/>
      <c r="AT44" s="1042" t="n"/>
      <c r="AU44" s="1042" t="n"/>
      <c r="AV44" s="1042" t="n"/>
      <c r="AW44" s="1043" t="n"/>
      <c r="AX44" s="246" t="n"/>
      <c r="AY44" s="246" t="n"/>
      <c r="AZ44" s="246" t="n"/>
      <c r="BA44" s="246" t="n"/>
      <c r="BB44" s="246" t="n"/>
      <c r="BC44" s="246" t="n"/>
      <c r="BD44" s="246" t="n"/>
      <c r="BE44" s="246" t="n"/>
      <c r="BF44" s="246" t="n"/>
      <c r="BG44" s="246" t="n"/>
      <c r="BH44" s="246" t="n"/>
      <c r="BI44" s="246" t="n"/>
      <c r="BJ44" s="246" t="n"/>
      <c r="BK44" s="246" t="n"/>
      <c r="BL44" s="246" t="n"/>
      <c r="BM44" s="246" t="n"/>
      <c r="BN44" s="246" t="n"/>
      <c r="BO44" s="246" t="n"/>
      <c r="BP44" s="246" t="n"/>
      <c r="BQ44" s="246" t="n"/>
      <c r="BR44" s="246" t="n"/>
      <c r="BS44" s="246" t="n"/>
      <c r="BT44" s="246" t="n"/>
      <c r="BU44" s="246" t="n"/>
      <c r="BV44" s="246" t="n"/>
      <c r="BW44" s="246" t="n"/>
      <c r="BX44" s="246" t="n"/>
      <c r="BY44" s="246" t="n"/>
      <c r="BZ44" s="246" t="n"/>
      <c r="CA44" s="246" t="n"/>
      <c r="CB44" s="246" t="n"/>
      <c r="CC44" s="246" t="n"/>
      <c r="CD44" s="246" t="n"/>
      <c r="CE44" s="246" t="n"/>
      <c r="CF44" s="246" t="n"/>
      <c r="CG44" s="246" t="n"/>
    </row>
    <row r="45" ht="10.5" customHeight="1">
      <c r="A45" s="246" t="n"/>
      <c r="B45" s="1061" t="n"/>
      <c r="C45" s="1062" t="n"/>
      <c r="D45" s="1054" t="n"/>
      <c r="E45" s="1055" t="n"/>
      <c r="F45" s="1055" t="n"/>
      <c r="G45" s="1056" t="n"/>
      <c r="H45" s="1051" t="n"/>
      <c r="I45" s="1052" t="n"/>
      <c r="J45" s="1052" t="n"/>
      <c r="K45" s="1052" t="n"/>
      <c r="L45" s="1052" t="n"/>
      <c r="M45" s="1052" t="n"/>
      <c r="N45" s="1052" t="n"/>
      <c r="O45" s="1052" t="n"/>
      <c r="P45" s="1052" t="n"/>
      <c r="Q45" s="1052" t="n"/>
      <c r="R45" s="1052" t="n"/>
      <c r="S45" s="1052" t="n"/>
      <c r="T45" s="1052" t="n"/>
      <c r="U45" s="1052" t="n"/>
      <c r="V45" s="1052" t="n"/>
      <c r="W45" s="1052" t="n"/>
      <c r="X45" s="1052" t="n"/>
      <c r="Y45" s="1052" t="n"/>
      <c r="Z45" s="1052" t="n"/>
      <c r="AA45" s="1052" t="n"/>
      <c r="AB45" s="1052" t="n"/>
      <c r="AC45" s="1052" t="n"/>
      <c r="AD45" s="1052" t="n"/>
      <c r="AE45" s="1052" t="n"/>
      <c r="AF45" s="1052" t="n"/>
      <c r="AG45" s="1052" t="n"/>
      <c r="AH45" s="1052" t="n"/>
      <c r="AI45" s="1052" t="n"/>
      <c r="AJ45" s="1052" t="n"/>
      <c r="AK45" s="1052" t="n"/>
      <c r="AL45" s="1052" t="n"/>
      <c r="AM45" s="1052" t="n"/>
      <c r="AN45" s="1052" t="n"/>
      <c r="AO45" s="1052" t="n"/>
      <c r="AP45" s="1052" t="n"/>
      <c r="AQ45" s="1052" t="n"/>
      <c r="AR45" s="1052" t="n"/>
      <c r="AS45" s="1052" t="n"/>
      <c r="AT45" s="1052" t="n"/>
      <c r="AU45" s="1052" t="n"/>
      <c r="AV45" s="1052" t="n"/>
      <c r="AW45" s="1053" t="n"/>
      <c r="AX45" s="246" t="n"/>
      <c r="AY45" s="246" t="n"/>
      <c r="AZ45" s="246" t="n"/>
      <c r="BA45" s="246" t="n"/>
      <c r="BB45" s="246" t="n"/>
      <c r="BC45" s="246" t="n"/>
      <c r="BD45" s="246" t="n"/>
      <c r="BE45" s="246" t="n"/>
      <c r="BF45" s="246" t="n"/>
      <c r="BG45" s="246" t="n"/>
      <c r="BH45" s="246" t="n"/>
      <c r="BI45" s="246" t="n"/>
      <c r="BJ45" s="246" t="n"/>
      <c r="BK45" s="246" t="n"/>
      <c r="BL45" s="246" t="n"/>
      <c r="BM45" s="246" t="n"/>
      <c r="BN45" s="246" t="n"/>
      <c r="BO45" s="246" t="n"/>
      <c r="BP45" s="246" t="n"/>
      <c r="BQ45" s="246" t="n"/>
      <c r="BR45" s="246" t="n"/>
      <c r="BS45" s="246" t="n"/>
      <c r="BT45" s="246" t="n"/>
      <c r="BU45" s="246" t="n"/>
      <c r="BV45" s="246" t="n"/>
      <c r="BW45" s="246" t="n"/>
      <c r="BX45" s="246" t="n"/>
      <c r="BY45" s="246" t="n"/>
      <c r="BZ45" s="246" t="n"/>
      <c r="CA45" s="246" t="n"/>
      <c r="CB45" s="246" t="n"/>
      <c r="CC45" s="246" t="n"/>
      <c r="CD45" s="246" t="n"/>
      <c r="CE45" s="246" t="n"/>
      <c r="CF45" s="246" t="n"/>
      <c r="CG45" s="246" t="n"/>
    </row>
    <row r="46" ht="10.5" customHeight="1">
      <c r="A46" s="246" t="n"/>
      <c r="B46" s="1061" t="n"/>
      <c r="C46" s="1062" t="n"/>
      <c r="D46" s="1074" t="inlineStr">
        <is>
          <t>位  置</t>
        </is>
      </c>
      <c r="E46" s="1045" t="n"/>
      <c r="F46" s="1045" t="n"/>
      <c r="G46" s="1046" t="n"/>
      <c r="H46" s="1084" t="inlineStr">
        <is>
          <t>間口6.0m</t>
        </is>
      </c>
      <c r="I46" s="1042" t="n"/>
      <c r="J46" s="1042" t="n"/>
      <c r="K46" s="1042" t="n"/>
      <c r="L46" s="1042" t="n"/>
      <c r="M46" s="1042" t="n"/>
      <c r="N46" s="1042" t="n"/>
      <c r="O46" s="1042" t="n"/>
      <c r="P46" s="1042" t="n"/>
      <c r="Q46" s="1042" t="n"/>
      <c r="R46" s="1042" t="n"/>
      <c r="S46" s="1042" t="n"/>
      <c r="T46" s="1042" t="n"/>
      <c r="U46" s="1042" t="n"/>
      <c r="V46" s="1042" t="n"/>
      <c r="W46" s="1042" t="n"/>
      <c r="X46" s="1042" t="n"/>
      <c r="Y46" s="1042" t="n"/>
      <c r="Z46" s="1042" t="n"/>
      <c r="AA46" s="1042" t="n"/>
      <c r="AB46" s="1042" t="n"/>
      <c r="AC46" s="1042" t="n"/>
      <c r="AD46" s="1042" t="n"/>
      <c r="AE46" s="1042" t="n"/>
      <c r="AF46" s="1042" t="n"/>
      <c r="AG46" s="1042" t="n"/>
      <c r="AH46" s="1042" t="n"/>
      <c r="AI46" s="1042" t="n"/>
      <c r="AJ46" s="1042" t="n"/>
      <c r="AK46" s="1042" t="n"/>
      <c r="AL46" s="1042" t="n"/>
      <c r="AM46" s="1042" t="n"/>
      <c r="AN46" s="1042" t="n"/>
      <c r="AO46" s="1042" t="n"/>
      <c r="AP46" s="1042" t="n"/>
      <c r="AQ46" s="1042" t="n"/>
      <c r="AR46" s="1042" t="n"/>
      <c r="AS46" s="1042" t="n"/>
      <c r="AT46" s="1042" t="n"/>
      <c r="AU46" s="1042" t="n"/>
      <c r="AV46" s="1042" t="n"/>
      <c r="AW46" s="1043" t="n"/>
      <c r="AX46" s="246" t="n"/>
      <c r="AY46" s="246" t="n"/>
      <c r="AZ46" s="246" t="n"/>
      <c r="BA46" s="246" t="n"/>
      <c r="BB46" s="246" t="n"/>
      <c r="BC46" s="246" t="n"/>
      <c r="BD46" s="246" t="n"/>
      <c r="BE46" s="246" t="n"/>
      <c r="BF46" s="246" t="n"/>
      <c r="BG46" s="246" t="n"/>
      <c r="BH46" s="246" t="n"/>
      <c r="BI46" s="246" t="n"/>
      <c r="BJ46" s="246" t="n"/>
      <c r="BK46" s="246" t="n"/>
      <c r="BL46" s="246" t="n"/>
      <c r="BM46" s="246" t="n"/>
      <c r="BN46" s="246" t="n"/>
      <c r="BO46" s="246" t="n"/>
      <c r="BP46" s="246" t="n"/>
      <c r="BQ46" s="246" t="n"/>
      <c r="BR46" s="246" t="n"/>
      <c r="BS46" s="246" t="n"/>
      <c r="BT46" s="246" t="n"/>
      <c r="BU46" s="246" t="n"/>
      <c r="BV46" s="246" t="n"/>
      <c r="BW46" s="246" t="n"/>
      <c r="BX46" s="246" t="n"/>
      <c r="BY46" s="246" t="n"/>
      <c r="BZ46" s="246" t="n"/>
      <c r="CA46" s="246" t="n"/>
      <c r="CB46" s="246" t="n"/>
      <c r="CC46" s="246" t="n"/>
      <c r="CD46" s="246" t="n"/>
      <c r="CE46" s="246" t="n"/>
      <c r="CF46" s="246" t="n"/>
      <c r="CG46" s="246" t="n"/>
    </row>
    <row r="47" ht="10.5" customHeight="1">
      <c r="A47" s="246" t="n"/>
      <c r="B47" s="1061" t="n"/>
      <c r="C47" s="1062" t="n"/>
      <c r="D47" s="1054" t="n"/>
      <c r="E47" s="1055" t="n"/>
      <c r="F47" s="1055" t="n"/>
      <c r="G47" s="1056" t="n"/>
      <c r="H47" s="1051" t="n"/>
      <c r="I47" s="1052" t="n"/>
      <c r="J47" s="1052" t="n"/>
      <c r="K47" s="1052" t="n"/>
      <c r="L47" s="1052" t="n"/>
      <c r="M47" s="1052" t="n"/>
      <c r="N47" s="1052" t="n"/>
      <c r="O47" s="1052" t="n"/>
      <c r="P47" s="1052" t="n"/>
      <c r="Q47" s="1052" t="n"/>
      <c r="R47" s="1052" t="n"/>
      <c r="S47" s="1052" t="n"/>
      <c r="T47" s="1052" t="n"/>
      <c r="U47" s="1052" t="n"/>
      <c r="V47" s="1052" t="n"/>
      <c r="W47" s="1052" t="n"/>
      <c r="X47" s="1052" t="n"/>
      <c r="Y47" s="1052" t="n"/>
      <c r="Z47" s="1052" t="n"/>
      <c r="AA47" s="1052" t="n"/>
      <c r="AB47" s="1052" t="n"/>
      <c r="AC47" s="1052" t="n"/>
      <c r="AD47" s="1052" t="n"/>
      <c r="AE47" s="1052" t="n"/>
      <c r="AF47" s="1052" t="n"/>
      <c r="AG47" s="1052" t="n"/>
      <c r="AH47" s="1052" t="n"/>
      <c r="AI47" s="1052" t="n"/>
      <c r="AJ47" s="1052" t="n"/>
      <c r="AK47" s="1052" t="n"/>
      <c r="AL47" s="1052" t="n"/>
      <c r="AM47" s="1052" t="n"/>
      <c r="AN47" s="1052" t="n"/>
      <c r="AO47" s="1052" t="n"/>
      <c r="AP47" s="1052" t="n"/>
      <c r="AQ47" s="1052" t="n"/>
      <c r="AR47" s="1052" t="n"/>
      <c r="AS47" s="1052" t="n"/>
      <c r="AT47" s="1052" t="n"/>
      <c r="AU47" s="1052" t="n"/>
      <c r="AV47" s="1052" t="n"/>
      <c r="AW47" s="1053" t="n"/>
      <c r="AX47" s="246" t="n"/>
      <c r="AY47" s="246" t="n"/>
      <c r="AZ47" s="246" t="n"/>
      <c r="BA47" s="246" t="n"/>
      <c r="BB47" s="246" t="n"/>
      <c r="BC47" s="246" t="n"/>
      <c r="BD47" s="246" t="n"/>
      <c r="BE47" s="246" t="n"/>
      <c r="BF47" s="246" t="n"/>
      <c r="BG47" s="246" t="n"/>
      <c r="BH47" s="246" t="n"/>
      <c r="BI47" s="246" t="n"/>
      <c r="BJ47" s="246" t="n"/>
      <c r="BK47" s="246" t="n"/>
      <c r="BL47" s="246" t="n"/>
      <c r="BM47" s="246" t="n"/>
      <c r="BN47" s="246" t="n"/>
      <c r="BO47" s="246" t="n"/>
      <c r="BP47" s="246" t="n"/>
      <c r="BQ47" s="246" t="n"/>
      <c r="BR47" s="246" t="n"/>
      <c r="BS47" s="246" t="n"/>
      <c r="BT47" s="246" t="n"/>
      <c r="BU47" s="246" t="n"/>
      <c r="BV47" s="246" t="n"/>
      <c r="BW47" s="246" t="n"/>
      <c r="BX47" s="246" t="n"/>
      <c r="BY47" s="246" t="n"/>
      <c r="BZ47" s="246" t="n"/>
      <c r="CA47" s="246" t="n"/>
      <c r="CB47" s="246" t="n"/>
      <c r="CC47" s="246" t="n"/>
      <c r="CD47" s="246" t="n"/>
      <c r="CE47" s="246" t="n"/>
      <c r="CF47" s="246" t="n"/>
      <c r="CG47" s="246" t="n"/>
    </row>
    <row r="48" ht="10.5" customHeight="1">
      <c r="A48" s="246" t="n"/>
      <c r="B48" s="1061" t="n"/>
      <c r="C48" s="1062" t="n"/>
      <c r="D48" s="1085" t="inlineStr">
        <is>
          <t>設備等</t>
        </is>
      </c>
      <c r="G48" s="1062" t="n"/>
      <c r="H48" s="1086" t="inlineStr">
        <is>
          <t>なし</t>
        </is>
      </c>
      <c r="I48" s="939" t="n"/>
      <c r="J48" s="939" t="n"/>
      <c r="K48" s="939" t="n"/>
      <c r="L48" s="939" t="n"/>
      <c r="M48" s="939" t="n"/>
      <c r="N48" s="939" t="n"/>
      <c r="O48" s="939" t="n"/>
      <c r="P48" s="939" t="n"/>
      <c r="Q48" s="939" t="n"/>
      <c r="R48" s="939" t="n"/>
      <c r="S48" s="939" t="n"/>
      <c r="T48" s="939" t="n"/>
      <c r="U48" s="939" t="n"/>
      <c r="V48" s="939" t="n"/>
      <c r="W48" s="939" t="n"/>
      <c r="X48" s="939" t="n"/>
      <c r="Y48" s="939" t="n"/>
      <c r="Z48" s="939" t="n"/>
      <c r="AA48" s="939" t="n"/>
      <c r="AB48" s="939" t="n"/>
      <c r="AC48" s="939" t="n"/>
      <c r="AD48" s="939" t="n"/>
      <c r="AE48" s="939" t="n"/>
      <c r="AF48" s="939" t="n"/>
      <c r="AG48" s="939" t="n"/>
      <c r="AH48" s="939" t="n"/>
      <c r="AI48" s="939" t="n"/>
      <c r="AJ48" s="939" t="n"/>
      <c r="AK48" s="939" t="n"/>
      <c r="AL48" s="939" t="n"/>
      <c r="AM48" s="939" t="n"/>
      <c r="AN48" s="939" t="n"/>
      <c r="AO48" s="939" t="n"/>
      <c r="AP48" s="939" t="n"/>
      <c r="AQ48" s="939" t="n"/>
      <c r="AR48" s="939" t="n"/>
      <c r="AS48" s="939" t="n"/>
      <c r="AT48" s="939" t="n"/>
      <c r="AU48" s="939" t="n"/>
      <c r="AV48" s="939" t="n"/>
      <c r="AW48" s="1060" t="n"/>
      <c r="AX48" s="246" t="n"/>
      <c r="AY48" s="246" t="n"/>
      <c r="AZ48" s="246" t="n"/>
      <c r="BA48" s="246" t="n"/>
      <c r="BB48" s="246" t="n"/>
      <c r="BC48" s="246" t="n"/>
      <c r="BD48" s="246" t="n"/>
      <c r="BE48" s="246" t="n"/>
      <c r="BF48" s="246" t="n"/>
      <c r="BG48" s="246" t="n"/>
      <c r="BH48" s="246" t="n"/>
      <c r="BI48" s="246" t="n"/>
      <c r="BJ48" s="246" t="n"/>
      <c r="BK48" s="246" t="n"/>
      <c r="BL48" s="246" t="n"/>
      <c r="BM48" s="246" t="n"/>
      <c r="BN48" s="246" t="n"/>
      <c r="BO48" s="246" t="n"/>
      <c r="BP48" s="246" t="n"/>
      <c r="BQ48" s="246" t="n"/>
      <c r="BR48" s="246" t="n"/>
      <c r="BS48" s="246" t="n"/>
      <c r="BT48" s="246" t="n"/>
      <c r="BU48" s="246" t="n"/>
      <c r="BV48" s="246" t="n"/>
      <c r="BW48" s="246" t="n"/>
      <c r="BX48" s="246" t="n"/>
      <c r="BY48" s="246" t="n"/>
      <c r="BZ48" s="246" t="n"/>
      <c r="CA48" s="246" t="n"/>
      <c r="CB48" s="246" t="n"/>
      <c r="CC48" s="246" t="n"/>
      <c r="CD48" s="246" t="n"/>
      <c r="CE48" s="246" t="n"/>
      <c r="CF48" s="246" t="n"/>
      <c r="CG48" s="246" t="n"/>
    </row>
    <row r="49" ht="10.5" customHeight="1">
      <c r="A49" s="246" t="n"/>
      <c r="B49" s="1054" t="n"/>
      <c r="C49" s="1056" t="n"/>
      <c r="D49" s="1054" t="n"/>
      <c r="E49" s="1055" t="n"/>
      <c r="F49" s="1055" t="n"/>
      <c r="G49" s="1056" t="n"/>
      <c r="H49" s="1051" t="n"/>
      <c r="I49" s="1052" t="n"/>
      <c r="J49" s="1052" t="n"/>
      <c r="K49" s="1052" t="n"/>
      <c r="L49" s="1052" t="n"/>
      <c r="M49" s="1052" t="n"/>
      <c r="N49" s="1052" t="n"/>
      <c r="O49" s="1052" t="n"/>
      <c r="P49" s="1052" t="n"/>
      <c r="Q49" s="1052" t="n"/>
      <c r="R49" s="1052" t="n"/>
      <c r="S49" s="1052" t="n"/>
      <c r="T49" s="1052" t="n"/>
      <c r="U49" s="1052" t="n"/>
      <c r="V49" s="1052" t="n"/>
      <c r="W49" s="1052" t="n"/>
      <c r="X49" s="1052" t="n"/>
      <c r="Y49" s="1052" t="n"/>
      <c r="Z49" s="1052" t="n"/>
      <c r="AA49" s="1052" t="n"/>
      <c r="AB49" s="1052" t="n"/>
      <c r="AC49" s="1052" t="n"/>
      <c r="AD49" s="1052" t="n"/>
      <c r="AE49" s="1052" t="n"/>
      <c r="AF49" s="1052" t="n"/>
      <c r="AG49" s="1052" t="n"/>
      <c r="AH49" s="1052" t="n"/>
      <c r="AI49" s="1052" t="n"/>
      <c r="AJ49" s="1052" t="n"/>
      <c r="AK49" s="1052" t="n"/>
      <c r="AL49" s="1052" t="n"/>
      <c r="AM49" s="1052" t="n"/>
      <c r="AN49" s="1052" t="n"/>
      <c r="AO49" s="1052" t="n"/>
      <c r="AP49" s="1052" t="n"/>
      <c r="AQ49" s="1052" t="n"/>
      <c r="AR49" s="1052" t="n"/>
      <c r="AS49" s="1052" t="n"/>
      <c r="AT49" s="1052" t="n"/>
      <c r="AU49" s="1052" t="n"/>
      <c r="AV49" s="1052" t="n"/>
      <c r="AW49" s="1053" t="n"/>
      <c r="AX49" s="246" t="n"/>
      <c r="AY49" s="246" t="n"/>
      <c r="AZ49" s="246" t="n"/>
      <c r="BA49" s="246" t="n"/>
      <c r="BB49" s="246" t="n"/>
      <c r="BC49" s="246" t="n"/>
      <c r="BD49" s="246" t="n"/>
      <c r="BE49" s="246" t="n"/>
      <c r="BF49" s="246" t="n"/>
      <c r="BG49" s="246" t="n"/>
      <c r="BH49" s="246" t="n"/>
      <c r="BI49" s="246" t="n"/>
      <c r="BJ49" s="246" t="n"/>
      <c r="BK49" s="246" t="n"/>
      <c r="BL49" s="246" t="n"/>
      <c r="BM49" s="246" t="n"/>
      <c r="BN49" s="246" t="n"/>
      <c r="BO49" s="246" t="n"/>
      <c r="BP49" s="246" t="n"/>
      <c r="BQ49" s="246" t="n"/>
      <c r="BR49" s="246" t="n"/>
      <c r="BS49" s="246" t="n"/>
      <c r="BT49" s="246" t="n"/>
      <c r="BU49" s="246" t="n"/>
      <c r="BV49" s="246" t="n"/>
      <c r="BW49" s="246" t="n"/>
      <c r="BX49" s="246" t="n"/>
      <c r="BY49" s="246" t="n"/>
      <c r="BZ49" s="246" t="n"/>
      <c r="CA49" s="246" t="n"/>
      <c r="CB49" s="246" t="n"/>
      <c r="CC49" s="246" t="n"/>
      <c r="CD49" s="246" t="n"/>
      <c r="CE49" s="246" t="n"/>
      <c r="CF49" s="246" t="n"/>
      <c r="CG49" s="246" t="n"/>
    </row>
    <row r="50" ht="10.5" customHeight="1">
      <c r="A50" s="246" t="n"/>
      <c r="B50" s="1063" t="inlineStr">
        <is>
          <t>建 物</t>
        </is>
      </c>
      <c r="C50" s="1046" t="n"/>
      <c r="D50" s="732" t="inlineStr">
        <is>
          <t>所  在</t>
        </is>
      </c>
      <c r="G50" s="1080" t="n"/>
      <c r="H50" s="1087">
        <f>①物件情報入力シート!C3</f>
        <v/>
      </c>
      <c r="I50" s="1042" t="n"/>
      <c r="J50" s="1042" t="n"/>
      <c r="K50" s="1042" t="n"/>
      <c r="L50" s="1042" t="n"/>
      <c r="M50" s="1042" t="n"/>
      <c r="N50" s="1042" t="n"/>
      <c r="O50" s="1042" t="n"/>
      <c r="P50" s="1042" t="n"/>
      <c r="Q50" s="1042" t="n"/>
      <c r="R50" s="1042" t="n"/>
      <c r="S50" s="1042" t="n"/>
      <c r="T50" s="1042" t="n"/>
      <c r="U50" s="1042" t="n"/>
      <c r="V50" s="1042" t="n"/>
      <c r="W50" s="1042" t="n"/>
      <c r="X50" s="1042" t="n"/>
      <c r="Y50" s="1042" t="n"/>
      <c r="Z50" s="1042" t="n"/>
      <c r="AA50" s="1042" t="n"/>
      <c r="AB50" s="1042" t="n"/>
      <c r="AC50" s="1042" t="n"/>
      <c r="AD50" s="1042" t="n"/>
      <c r="AE50" s="1042" t="n"/>
      <c r="AF50" s="1043" t="n"/>
      <c r="AG50" s="695" t="inlineStr">
        <is>
          <t>家屋番号</t>
        </is>
      </c>
      <c r="AH50" s="1039" t="n"/>
      <c r="AI50" s="1039" t="n"/>
      <c r="AJ50" s="1040" t="n"/>
      <c r="AK50" s="1069" t="n"/>
      <c r="AL50" s="1042" t="n"/>
      <c r="AM50" s="1042" t="n"/>
      <c r="AN50" s="1042" t="n"/>
      <c r="AO50" s="1042" t="n"/>
      <c r="AP50" s="1042" t="n"/>
      <c r="AQ50" s="1042" t="n"/>
      <c r="AR50" s="1042" t="n"/>
      <c r="AS50" s="1042" t="n"/>
      <c r="AT50" s="1042" t="n"/>
      <c r="AU50" s="1042" t="n"/>
      <c r="AV50" s="1042" t="n"/>
      <c r="AW50" s="1043" t="n"/>
      <c r="AX50" s="246" t="n"/>
      <c r="AY50" s="246" t="n"/>
      <c r="AZ50" s="246" t="n"/>
      <c r="BA50" s="246" t="n"/>
      <c r="BB50" s="246" t="n"/>
      <c r="BC50" s="246" t="n"/>
      <c r="BD50" s="246" t="n"/>
      <c r="BE50" s="246" t="n"/>
      <c r="BF50" s="246" t="n"/>
      <c r="BG50" s="246" t="n"/>
      <c r="BH50" s="246" t="n"/>
      <c r="BI50" s="246" t="n"/>
      <c r="BJ50" s="246" t="n"/>
      <c r="BK50" s="246" t="n"/>
      <c r="BL50" s="246" t="n"/>
      <c r="BM50" s="246" t="n"/>
      <c r="BN50" s="246" t="n"/>
      <c r="BO50" s="246" t="n"/>
      <c r="BP50" s="246" t="n"/>
      <c r="BQ50" s="246" t="n"/>
      <c r="BR50" s="246" t="n"/>
      <c r="BS50" s="246" t="n"/>
      <c r="BT50" s="246" t="n"/>
      <c r="BU50" s="246" t="n"/>
      <c r="BV50" s="246" t="n"/>
      <c r="BW50" s="246" t="n"/>
      <c r="BX50" s="246" t="n"/>
      <c r="BY50" s="246" t="n"/>
      <c r="BZ50" s="246" t="n"/>
      <c r="CA50" s="246" t="n"/>
      <c r="CB50" s="246" t="n"/>
      <c r="CC50" s="246" t="n"/>
      <c r="CD50" s="246" t="n"/>
      <c r="CE50" s="246" t="n"/>
      <c r="CF50" s="246" t="n"/>
      <c r="CG50" s="246" t="n"/>
    </row>
    <row r="51" ht="10.5" customHeight="1">
      <c r="A51" s="246" t="n"/>
      <c r="B51" s="1061" t="n"/>
      <c r="C51" s="1062" t="n"/>
      <c r="D51" s="1048" t="n"/>
      <c r="E51" s="1049" t="n"/>
      <c r="F51" s="1049" t="n"/>
      <c r="G51" s="1050" t="n"/>
      <c r="H51" s="1082" t="n"/>
      <c r="I51" s="939" t="n"/>
      <c r="J51" s="939" t="n"/>
      <c r="K51" s="939" t="n"/>
      <c r="L51" s="939" t="n"/>
      <c r="M51" s="939" t="n"/>
      <c r="N51" s="939" t="n"/>
      <c r="O51" s="939" t="n"/>
      <c r="P51" s="939" t="n"/>
      <c r="Q51" s="939" t="n"/>
      <c r="R51" s="939" t="n"/>
      <c r="S51" s="939" t="n"/>
      <c r="T51" s="939" t="n"/>
      <c r="U51" s="939" t="n"/>
      <c r="V51" s="939" t="n"/>
      <c r="W51" s="939" t="n"/>
      <c r="X51" s="939" t="n"/>
      <c r="Y51" s="939" t="n"/>
      <c r="Z51" s="939" t="n"/>
      <c r="AA51" s="939" t="n"/>
      <c r="AB51" s="939" t="n"/>
      <c r="AC51" s="939" t="n"/>
      <c r="AD51" s="939" t="n"/>
      <c r="AE51" s="939" t="n"/>
      <c r="AF51" s="1060" t="n"/>
      <c r="AG51" s="1048" t="n"/>
      <c r="AH51" s="1049" t="n"/>
      <c r="AI51" s="1049" t="n"/>
      <c r="AJ51" s="1050" t="n"/>
      <c r="AK51" s="1051" t="n"/>
      <c r="AL51" s="1052" t="n"/>
      <c r="AM51" s="1052" t="n"/>
      <c r="AN51" s="1052" t="n"/>
      <c r="AO51" s="1052" t="n"/>
      <c r="AP51" s="1052" t="n"/>
      <c r="AQ51" s="1052" t="n"/>
      <c r="AR51" s="1052" t="n"/>
      <c r="AS51" s="1052" t="n"/>
      <c r="AT51" s="1052" t="n"/>
      <c r="AU51" s="1052" t="n"/>
      <c r="AV51" s="1052" t="n"/>
      <c r="AW51" s="1053" t="n"/>
      <c r="AX51" s="246" t="n"/>
      <c r="AY51" s="246" t="n"/>
      <c r="AZ51" s="246" t="n"/>
      <c r="BA51" s="246" t="n"/>
      <c r="BB51" s="246" t="n"/>
      <c r="BC51" s="246" t="n"/>
      <c r="BD51" s="246" t="n"/>
      <c r="BE51" s="246" t="n"/>
      <c r="BF51" s="246" t="n"/>
      <c r="BG51" s="246" t="n"/>
      <c r="BH51" s="246" t="n"/>
      <c r="BI51" s="246" t="n"/>
      <c r="BJ51" s="246" t="n"/>
      <c r="BK51" s="246" t="n"/>
      <c r="BL51" s="246" t="n"/>
      <c r="BM51" s="246" t="n"/>
      <c r="BN51" s="246" t="n"/>
      <c r="BO51" s="246" t="n"/>
      <c r="BP51" s="246" t="n"/>
      <c r="BQ51" s="246" t="n"/>
      <c r="BR51" s="246" t="n"/>
      <c r="BS51" s="246" t="n"/>
      <c r="BT51" s="246" t="n"/>
      <c r="BU51" s="246" t="n"/>
      <c r="BV51" s="246" t="n"/>
      <c r="BW51" s="246" t="n"/>
      <c r="BX51" s="246" t="n"/>
      <c r="BY51" s="246" t="n"/>
      <c r="BZ51" s="246" t="n"/>
      <c r="CA51" s="246" t="n"/>
      <c r="CB51" s="246" t="n"/>
      <c r="CC51" s="246" t="n"/>
      <c r="CD51" s="246" t="n"/>
      <c r="CE51" s="246" t="n"/>
      <c r="CF51" s="246" t="n"/>
      <c r="CG51" s="246" t="n"/>
    </row>
    <row r="52" ht="10.5" customHeight="1">
      <c r="A52" s="246" t="n"/>
      <c r="B52" s="1061" t="n"/>
      <c r="C52" s="1062" t="n"/>
      <c r="D52" s="695" t="inlineStr">
        <is>
          <t>住居表示</t>
        </is>
      </c>
      <c r="E52" s="1039" t="n"/>
      <c r="F52" s="1039" t="n"/>
      <c r="G52" s="1040" t="n"/>
      <c r="H52" s="1087">
        <f>①物件情報入力シート!C4</f>
        <v/>
      </c>
      <c r="I52" s="1042" t="n"/>
      <c r="J52" s="1042" t="n"/>
      <c r="K52" s="1042" t="n"/>
      <c r="L52" s="1042" t="n"/>
      <c r="M52" s="1042" t="n"/>
      <c r="N52" s="1042" t="n"/>
      <c r="O52" s="1042" t="n"/>
      <c r="P52" s="1042" t="n"/>
      <c r="Q52" s="1042" t="n"/>
      <c r="R52" s="1042" t="n"/>
      <c r="S52" s="1042" t="n"/>
      <c r="T52" s="1042" t="n"/>
      <c r="U52" s="1042" t="n"/>
      <c r="V52" s="1042" t="n"/>
      <c r="W52" s="1042" t="n"/>
      <c r="X52" s="1042" t="n"/>
      <c r="Y52" s="1042" t="n"/>
      <c r="Z52" s="1042" t="n"/>
      <c r="AA52" s="1042" t="n"/>
      <c r="AB52" s="1042" t="n"/>
      <c r="AC52" s="1042" t="n"/>
      <c r="AD52" s="1042" t="n"/>
      <c r="AE52" s="1042" t="n"/>
      <c r="AF52" s="1043" t="n"/>
      <c r="AG52" s="695" t="inlineStr">
        <is>
          <t>附属建物</t>
        </is>
      </c>
      <c r="AH52" s="1039" t="n"/>
      <c r="AI52" s="1039" t="n"/>
      <c r="AJ52" s="1040" t="n"/>
      <c r="AK52" s="1088" t="inlineStr">
        <is>
          <t>無</t>
        </is>
      </c>
      <c r="AL52" s="1042" t="n"/>
      <c r="AM52" s="1089" t="inlineStr">
        <is>
          <t>（</t>
        </is>
      </c>
      <c r="AN52" s="1090" t="n"/>
      <c r="AO52" s="1042" t="n"/>
      <c r="AP52" s="1042" t="n"/>
      <c r="AQ52" s="1042" t="n"/>
      <c r="AR52" s="1042" t="n"/>
      <c r="AS52" s="1042" t="n"/>
      <c r="AT52" s="1042" t="n"/>
      <c r="AU52" s="1042" t="n"/>
      <c r="AV52" s="1042" t="n"/>
      <c r="AW52" s="1091" t="inlineStr">
        <is>
          <t>）</t>
        </is>
      </c>
      <c r="AX52" s="246" t="n"/>
      <c r="AY52" s="246" t="n"/>
      <c r="AZ52" s="246" t="n"/>
      <c r="BA52" s="246" t="n"/>
      <c r="BB52" s="246" t="n"/>
      <c r="BC52" s="246" t="n"/>
      <c r="BD52" s="246" t="n"/>
      <c r="BE52" s="246" t="n"/>
      <c r="BF52" s="246" t="n"/>
      <c r="BG52" s="246" t="n"/>
      <c r="BH52" s="246" t="n"/>
      <c r="BI52" s="246" t="n"/>
      <c r="BJ52" s="246" t="n"/>
      <c r="BK52" s="246" t="n"/>
      <c r="BL52" s="246" t="n"/>
      <c r="BM52" s="246" t="n"/>
      <c r="BN52" s="246" t="n"/>
      <c r="BO52" s="246" t="n"/>
      <c r="BP52" s="246" t="n"/>
      <c r="BQ52" s="246" t="n"/>
      <c r="BR52" s="246" t="n"/>
      <c r="BS52" s="246" t="n"/>
      <c r="BT52" s="246" t="n"/>
      <c r="BU52" s="246" t="n"/>
      <c r="BV52" s="246" t="n"/>
      <c r="BW52" s="246" t="n"/>
      <c r="BX52" s="246" t="n"/>
      <c r="BY52" s="246" t="n"/>
      <c r="BZ52" s="246" t="n"/>
      <c r="CA52" s="246" t="n"/>
      <c r="CB52" s="246" t="n"/>
      <c r="CC52" s="246" t="n"/>
      <c r="CD52" s="246" t="n"/>
      <c r="CE52" s="246" t="n"/>
      <c r="CF52" s="246" t="n"/>
      <c r="CG52" s="246" t="n"/>
    </row>
    <row r="53" ht="10.5" customHeight="1">
      <c r="A53" s="246" t="n"/>
      <c r="B53" s="1061" t="n"/>
      <c r="C53" s="1062" t="n"/>
      <c r="D53" s="1048" t="n"/>
      <c r="E53" s="1049" t="n"/>
      <c r="F53" s="1049" t="n"/>
      <c r="G53" s="1050" t="n"/>
      <c r="H53" s="1082" t="n"/>
      <c r="I53" s="939" t="n"/>
      <c r="J53" s="939" t="n"/>
      <c r="K53" s="939" t="n"/>
      <c r="L53" s="939" t="n"/>
      <c r="M53" s="939" t="n"/>
      <c r="N53" s="939" t="n"/>
      <c r="O53" s="939" t="n"/>
      <c r="P53" s="939" t="n"/>
      <c r="Q53" s="939" t="n"/>
      <c r="R53" s="939" t="n"/>
      <c r="S53" s="939" t="n"/>
      <c r="T53" s="939" t="n"/>
      <c r="U53" s="939" t="n"/>
      <c r="V53" s="939" t="n"/>
      <c r="W53" s="939" t="n"/>
      <c r="X53" s="939" t="n"/>
      <c r="Y53" s="939" t="n"/>
      <c r="Z53" s="939" t="n"/>
      <c r="AA53" s="939" t="n"/>
      <c r="AB53" s="939" t="n"/>
      <c r="AC53" s="939" t="n"/>
      <c r="AD53" s="939" t="n"/>
      <c r="AE53" s="939" t="n"/>
      <c r="AF53" s="1060" t="n"/>
      <c r="AG53" s="1048" t="n"/>
      <c r="AH53" s="1049" t="n"/>
      <c r="AI53" s="1049" t="n"/>
      <c r="AJ53" s="1050" t="n"/>
      <c r="AK53" s="1051" t="n"/>
      <c r="AL53" s="1052" t="n"/>
      <c r="AM53" s="1055" t="n"/>
      <c r="AN53" s="1052" t="n"/>
      <c r="AO53" s="1052" t="n"/>
      <c r="AP53" s="1052" t="n"/>
      <c r="AQ53" s="1052" t="n"/>
      <c r="AR53" s="1052" t="n"/>
      <c r="AS53" s="1052" t="n"/>
      <c r="AT53" s="1052" t="n"/>
      <c r="AU53" s="1052" t="n"/>
      <c r="AV53" s="1052" t="n"/>
      <c r="AW53" s="1056" t="n"/>
      <c r="AX53" s="251" t="n"/>
      <c r="AY53" s="251" t="n"/>
      <c r="AZ53" s="251" t="n"/>
      <c r="BA53" s="246" t="n"/>
      <c r="BB53" s="246" t="n"/>
      <c r="BC53" s="246" t="n"/>
      <c r="BD53" s="246" t="n"/>
      <c r="BE53" s="246" t="n"/>
      <c r="BF53" s="246" t="n"/>
      <c r="BG53" s="246" t="n"/>
      <c r="BH53" s="246" t="n"/>
      <c r="BI53" s="246" t="n"/>
      <c r="BJ53" s="246" t="n"/>
      <c r="BK53" s="246" t="n"/>
      <c r="BL53" s="246" t="n"/>
      <c r="BM53" s="246" t="n"/>
      <c r="BN53" s="246" t="n"/>
      <c r="BO53" s="246" t="n"/>
      <c r="BP53" s="246" t="n"/>
      <c r="BQ53" s="246" t="n"/>
      <c r="BR53" s="246" t="n"/>
      <c r="BS53" s="246" t="n"/>
      <c r="BT53" s="246" t="n"/>
      <c r="BU53" s="246" t="n"/>
      <c r="BV53" s="246" t="n"/>
      <c r="BW53" s="246" t="n"/>
      <c r="BX53" s="246" t="n"/>
      <c r="BY53" s="246" t="n"/>
      <c r="BZ53" s="246" t="n"/>
      <c r="CA53" s="246" t="n"/>
      <c r="CB53" s="246" t="n"/>
      <c r="CC53" s="246" t="n"/>
      <c r="CD53" s="246" t="n"/>
    </row>
    <row r="54" ht="10.5" customHeight="1">
      <c r="A54" s="246" t="n"/>
      <c r="B54" s="1061" t="n"/>
      <c r="C54" s="1062" t="n"/>
      <c r="D54" s="695" t="inlineStr">
        <is>
          <t>種  類</t>
        </is>
      </c>
      <c r="E54" s="1039" t="n"/>
      <c r="F54" s="1039" t="n"/>
      <c r="G54" s="1040" t="n"/>
      <c r="H54" s="1069" t="n"/>
      <c r="I54" s="1042" t="n"/>
      <c r="J54" s="1042" t="n"/>
      <c r="K54" s="1042" t="n"/>
      <c r="L54" s="1042" t="n"/>
      <c r="M54" s="1042" t="n"/>
      <c r="N54" s="1042" t="n"/>
      <c r="O54" s="1042" t="n"/>
      <c r="P54" s="1042" t="n"/>
      <c r="Q54" s="1043" t="n"/>
      <c r="R54" s="1074" t="inlineStr">
        <is>
          <t>構  造</t>
        </is>
      </c>
      <c r="S54" s="1045" t="n"/>
      <c r="T54" s="1045" t="n"/>
      <c r="U54" s="1046" t="n"/>
      <c r="V54" s="1092">
        <f>①物件情報入力シート!C14</f>
        <v/>
      </c>
      <c r="W54" s="1042" t="n"/>
      <c r="X54" s="1042" t="n"/>
      <c r="Y54" s="1042" t="n"/>
      <c r="Z54" s="1042" t="n"/>
      <c r="AA54" s="1042" t="n"/>
      <c r="AB54" s="1042" t="n"/>
      <c r="AC54" s="1042" t="n"/>
      <c r="AD54" s="1042" t="n"/>
      <c r="AE54" s="1042" t="n"/>
      <c r="AF54" s="1042" t="n"/>
      <c r="AG54" s="1042" t="n"/>
      <c r="AH54" s="1042" t="n"/>
      <c r="AI54" s="1042" t="n"/>
      <c r="AJ54" s="1093" t="inlineStr">
        <is>
          <t>用  途</t>
        </is>
      </c>
      <c r="AK54" s="1045" t="n"/>
      <c r="AL54" s="1045" t="n"/>
      <c r="AM54" s="1046" t="n"/>
      <c r="AN54" s="1069" t="n"/>
      <c r="AO54" s="1042" t="n"/>
      <c r="AP54" s="1042" t="n"/>
      <c r="AQ54" s="1042" t="n"/>
      <c r="AR54" s="1042" t="n"/>
      <c r="AS54" s="1042" t="n"/>
      <c r="AT54" s="1042" t="n"/>
      <c r="AU54" s="1042" t="n"/>
      <c r="AV54" s="1042" t="n"/>
      <c r="AW54" s="1043" t="n"/>
      <c r="AX54" s="251" t="n"/>
      <c r="AY54" s="251" t="n"/>
      <c r="AZ54" s="251" t="n"/>
      <c r="BA54" s="246" t="n"/>
      <c r="BB54" s="246" t="n"/>
      <c r="BC54" s="246" t="n"/>
      <c r="BD54" s="246" t="n"/>
      <c r="BE54" s="246" t="n"/>
      <c r="BF54" s="246" t="n"/>
      <c r="BG54" s="246" t="n"/>
      <c r="BH54" s="246" t="n"/>
      <c r="BI54" s="246" t="n"/>
      <c r="BJ54" s="246" t="n"/>
      <c r="BK54" s="246" t="n"/>
      <c r="BL54" s="246" t="n"/>
      <c r="BM54" s="246" t="n"/>
      <c r="BN54" s="246" t="n"/>
      <c r="BO54" s="246" t="n"/>
      <c r="BP54" s="246" t="n"/>
      <c r="BQ54" s="246" t="n"/>
      <c r="BR54" s="246" t="n"/>
      <c r="BS54" s="246" t="n"/>
      <c r="BT54" s="246" t="n"/>
      <c r="BU54" s="246" t="n"/>
      <c r="BV54" s="246" t="n"/>
      <c r="BW54" s="246" t="n"/>
      <c r="BX54" s="246" t="n"/>
      <c r="BY54" s="246" t="n"/>
      <c r="BZ54" s="246" t="n"/>
      <c r="CA54" s="246" t="n"/>
      <c r="CB54" s="246" t="n"/>
      <c r="CC54" s="246" t="n"/>
      <c r="CD54" s="246" t="n"/>
    </row>
    <row r="55" ht="10.5" customHeight="1">
      <c r="A55" s="246" t="n"/>
      <c r="B55" s="1061" t="n"/>
      <c r="C55" s="1062" t="n"/>
      <c r="D55" s="1048" t="n"/>
      <c r="E55" s="1049" t="n"/>
      <c r="F55" s="1049" t="n"/>
      <c r="G55" s="1050" t="n"/>
      <c r="H55" s="1051" t="n"/>
      <c r="I55" s="1052" t="n"/>
      <c r="J55" s="1052" t="n"/>
      <c r="K55" s="1052" t="n"/>
      <c r="L55" s="1052" t="n"/>
      <c r="M55" s="1052" t="n"/>
      <c r="N55" s="1052" t="n"/>
      <c r="O55" s="1052" t="n"/>
      <c r="P55" s="1052" t="n"/>
      <c r="Q55" s="1053" t="n"/>
      <c r="R55" s="1054" t="n"/>
      <c r="S55" s="1055" t="n"/>
      <c r="T55" s="1055" t="n"/>
      <c r="U55" s="1056" t="n"/>
      <c r="V55" s="1051" t="n"/>
      <c r="W55" s="1052" t="n"/>
      <c r="X55" s="1052" t="n"/>
      <c r="Y55" s="1052" t="n"/>
      <c r="Z55" s="1052" t="n"/>
      <c r="AA55" s="1052" t="n"/>
      <c r="AB55" s="1052" t="n"/>
      <c r="AC55" s="1052" t="n"/>
      <c r="AD55" s="1052" t="n"/>
      <c r="AE55" s="1052" t="n"/>
      <c r="AF55" s="1052" t="n"/>
      <c r="AG55" s="1052" t="n"/>
      <c r="AH55" s="1052" t="n"/>
      <c r="AI55" s="1052" t="n"/>
      <c r="AJ55" s="1054" t="n"/>
      <c r="AK55" s="1055" t="n"/>
      <c r="AL55" s="1055" t="n"/>
      <c r="AM55" s="1056" t="n"/>
      <c r="AN55" s="1051" t="n"/>
      <c r="AO55" s="1052" t="n"/>
      <c r="AP55" s="1052" t="n"/>
      <c r="AQ55" s="1052" t="n"/>
      <c r="AR55" s="1052" t="n"/>
      <c r="AS55" s="1052" t="n"/>
      <c r="AT55" s="1052" t="n"/>
      <c r="AU55" s="1052" t="n"/>
      <c r="AV55" s="1052" t="n"/>
      <c r="AW55" s="1053" t="n"/>
      <c r="AX55" s="251" t="n"/>
      <c r="AY55" s="251" t="n"/>
      <c r="AZ55" s="251" t="n"/>
      <c r="BA55" s="246" t="n"/>
      <c r="BB55" s="246" t="n"/>
      <c r="BC55" s="246" t="n"/>
      <c r="BD55" s="246" t="n"/>
      <c r="BE55" s="246" t="n"/>
      <c r="BF55" s="246" t="n"/>
      <c r="BG55" s="246" t="n"/>
      <c r="BH55" s="246" t="n"/>
      <c r="BI55" s="246" t="n"/>
      <c r="BJ55" s="246" t="n"/>
      <c r="BK55" s="246" t="n"/>
      <c r="BL55" s="246" t="n"/>
      <c r="BM55" s="246" t="n"/>
      <c r="BN55" s="246" t="n"/>
      <c r="BO55" s="246" t="n"/>
      <c r="BP55" s="246" t="n"/>
      <c r="BQ55" s="246" t="n"/>
      <c r="BR55" s="246" t="n"/>
      <c r="BS55" s="246" t="n"/>
      <c r="BT55" s="246" t="n"/>
      <c r="BU55" s="246" t="n"/>
      <c r="BV55" s="246" t="n"/>
      <c r="BW55" s="246" t="n"/>
      <c r="BX55" s="246" t="n"/>
      <c r="BY55" s="246" t="n"/>
      <c r="BZ55" s="246" t="n"/>
      <c r="CA55" s="246" t="n"/>
      <c r="CB55" s="246" t="n"/>
      <c r="CC55" s="246" t="n"/>
      <c r="CD55" s="246" t="n"/>
    </row>
    <row r="56" ht="10.5" customHeight="1">
      <c r="B56" s="1061" t="n"/>
      <c r="C56" s="1062" t="n"/>
      <c r="D56" s="1074" t="inlineStr">
        <is>
          <t>床面積</t>
        </is>
      </c>
      <c r="E56" s="1045" t="n"/>
      <c r="F56" s="1045" t="n"/>
      <c r="G56" s="1046" t="n"/>
      <c r="H56" s="701" t="inlineStr">
        <is>
          <t>■</t>
        </is>
      </c>
      <c r="I56" s="629" t="inlineStr">
        <is>
          <t>登記簿</t>
        </is>
      </c>
      <c r="J56" s="1045" t="n"/>
      <c r="K56" s="1045" t="n"/>
      <c r="L56" s="1046" t="n"/>
      <c r="M56" s="721" t="inlineStr">
        <is>
          <t>1階</t>
        </is>
      </c>
      <c r="N56" s="1045" t="n"/>
      <c r="O56" s="607">
        <f>①物件情報入力シート!C17</f>
        <v/>
      </c>
      <c r="P56" s="1042" t="n"/>
      <c r="Q56" s="1042" t="n"/>
      <c r="R56" s="1042" t="n"/>
      <c r="S56" s="655" t="inlineStr">
        <is>
          <t>㎡・</t>
        </is>
      </c>
      <c r="T56" s="1045" t="n"/>
      <c r="U56" s="718" t="inlineStr">
        <is>
          <t>2階</t>
        </is>
      </c>
      <c r="V56" s="1045" t="n"/>
      <c r="W56" s="607">
        <f>①物件情報入力シート!C18</f>
        <v/>
      </c>
      <c r="X56" s="1042" t="n"/>
      <c r="Y56" s="1042" t="n"/>
      <c r="Z56" s="1042" t="n"/>
      <c r="AA56" s="655" t="inlineStr">
        <is>
          <t>㎡・</t>
        </is>
      </c>
      <c r="AB56" s="1045" t="n"/>
      <c r="AC56" s="720" t="inlineStr">
        <is>
          <t>階</t>
        </is>
      </c>
      <c r="AD56" s="1042" t="n"/>
      <c r="AE56" s="607" t="n"/>
      <c r="AF56" s="1042" t="n"/>
      <c r="AG56" s="1042" t="n"/>
      <c r="AH56" s="1042" t="n"/>
      <c r="AI56" s="655" t="inlineStr">
        <is>
          <t>㎡・</t>
        </is>
      </c>
      <c r="AJ56" s="1045" t="n"/>
      <c r="AK56" s="720" t="inlineStr">
        <is>
          <t>階</t>
        </is>
      </c>
      <c r="AL56" s="1042" t="n"/>
      <c r="AM56" s="607" t="n"/>
      <c r="AN56" s="1042" t="n"/>
      <c r="AO56" s="1042" t="n"/>
      <c r="AP56" s="1042" t="n"/>
      <c r="AQ56" s="655" t="inlineStr">
        <is>
          <t>㎡・</t>
        </is>
      </c>
      <c r="AR56" s="1045" t="n"/>
      <c r="AS56" s="257" t="n"/>
      <c r="AT56" s="257" t="n"/>
      <c r="AU56" s="257" t="n"/>
      <c r="AV56" s="257" t="n"/>
      <c r="AW56" s="264" t="n"/>
      <c r="AY56" s="244" t="n"/>
      <c r="BA56" s="246" t="n"/>
      <c r="BB56" s="246" t="n"/>
      <c r="BC56" s="246" t="n"/>
      <c r="BD56" s="246" t="n"/>
      <c r="BE56" s="246" t="n"/>
      <c r="BF56" s="246" t="n"/>
      <c r="BG56" s="246" t="n"/>
      <c r="BH56" s="246" t="n"/>
      <c r="BI56" s="246" t="n"/>
      <c r="BJ56" s="246" t="n"/>
      <c r="BK56" s="246" t="n"/>
      <c r="BL56" s="246" t="n"/>
      <c r="BM56" s="246" t="n"/>
      <c r="BN56" s="246" t="n"/>
      <c r="BO56" s="246" t="n"/>
      <c r="BP56" s="246" t="n"/>
      <c r="BQ56" s="246" t="n"/>
      <c r="BR56" s="246" t="n"/>
      <c r="BS56" s="246" t="n"/>
      <c r="BT56" s="246" t="n"/>
      <c r="BU56" s="246" t="n"/>
      <c r="BV56" s="246" t="n"/>
      <c r="BW56" s="246" t="n"/>
      <c r="BX56" s="246" t="n"/>
      <c r="BY56" s="246" t="n"/>
      <c r="BZ56" s="246" t="n"/>
      <c r="CA56" s="246" t="n"/>
      <c r="CB56" s="246" t="n"/>
      <c r="CC56" s="246" t="n"/>
      <c r="CD56" s="246" t="n"/>
    </row>
    <row r="57" ht="10.5" customHeight="1">
      <c r="B57" s="1061" t="n"/>
      <c r="C57" s="1062" t="n"/>
      <c r="D57" s="1061" t="n"/>
      <c r="G57" s="1062" t="n"/>
      <c r="H57" s="1082" t="n"/>
      <c r="L57" s="1062" t="n"/>
      <c r="M57" s="1061" t="n"/>
      <c r="O57" s="939" t="n"/>
      <c r="P57" s="939" t="n"/>
      <c r="Q57" s="939" t="n"/>
      <c r="R57" s="939" t="n"/>
      <c r="W57" s="939" t="n"/>
      <c r="X57" s="939" t="n"/>
      <c r="Y57" s="939" t="n"/>
      <c r="Z57" s="939" t="n"/>
      <c r="AC57" s="939" t="n"/>
      <c r="AD57" s="939" t="n"/>
      <c r="AE57" s="939" t="n"/>
      <c r="AF57" s="939" t="n"/>
      <c r="AG57" s="939" t="n"/>
      <c r="AH57" s="939" t="n"/>
      <c r="AK57" s="939" t="n"/>
      <c r="AL57" s="939" t="n"/>
      <c r="AM57" s="939" t="n"/>
      <c r="AN57" s="939" t="n"/>
      <c r="AO57" s="939" t="n"/>
      <c r="AP57" s="939" t="n"/>
      <c r="AS57" s="265" t="n"/>
      <c r="AT57" s="265" t="n"/>
      <c r="AU57" s="252" t="n"/>
      <c r="AV57" s="252" t="n"/>
      <c r="AW57" s="266" t="n"/>
      <c r="AY57" s="244" t="n"/>
      <c r="BA57" s="246" t="n"/>
      <c r="BB57" s="246" t="n"/>
      <c r="BC57" s="246" t="n"/>
      <c r="BD57" s="246" t="n"/>
      <c r="BE57" s="246" t="n"/>
      <c r="BF57" s="246" t="n"/>
      <c r="BG57" s="246" t="n"/>
      <c r="BH57" s="246" t="n"/>
      <c r="BI57" s="246" t="n"/>
      <c r="BJ57" s="246" t="n"/>
      <c r="BK57" s="246" t="n"/>
      <c r="BL57" s="246" t="n"/>
      <c r="BM57" s="246" t="n"/>
      <c r="BN57" s="246" t="n"/>
      <c r="BO57" s="246" t="n"/>
      <c r="BP57" s="246" t="n"/>
      <c r="BQ57" s="246" t="n"/>
      <c r="BR57" s="246" t="n"/>
      <c r="BS57" s="246" t="n"/>
      <c r="BT57" s="246" t="n"/>
      <c r="BU57" s="246" t="n"/>
      <c r="BV57" s="246" t="n"/>
      <c r="BW57" s="246" t="n"/>
      <c r="BX57" s="246" t="n"/>
      <c r="BY57" s="246" t="n"/>
      <c r="BZ57" s="246" t="n"/>
      <c r="CA57" s="246" t="n"/>
      <c r="CB57" s="246" t="n"/>
      <c r="CC57" s="246" t="n"/>
      <c r="CD57" s="246" t="n"/>
    </row>
    <row r="58" ht="10.5" customHeight="1">
      <c r="B58" s="1061" t="n"/>
      <c r="C58" s="1062" t="n"/>
      <c r="D58" s="1061" t="n"/>
      <c r="G58" s="1062" t="n"/>
      <c r="H58" s="702" t="inlineStr">
        <is>
          <t>□</t>
        </is>
      </c>
      <c r="I58" s="715" t="n"/>
      <c r="J58" s="939" t="n"/>
      <c r="K58" s="939" t="n"/>
      <c r="L58" s="1060" t="n"/>
      <c r="M58" s="717" t="inlineStr">
        <is>
          <t>階</t>
        </is>
      </c>
      <c r="N58" s="939" t="n"/>
      <c r="O58" s="706" t="n"/>
      <c r="P58" s="939" t="n"/>
      <c r="Q58" s="939" t="n"/>
      <c r="R58" s="939" t="n"/>
      <c r="S58" s="636" t="inlineStr">
        <is>
          <t>㎡・</t>
        </is>
      </c>
      <c r="U58" s="704" t="inlineStr">
        <is>
          <t>階</t>
        </is>
      </c>
      <c r="V58" s="939" t="n"/>
      <c r="W58" s="706" t="n"/>
      <c r="X58" s="939" t="n"/>
      <c r="Y58" s="939" t="n"/>
      <c r="Z58" s="939" t="n"/>
      <c r="AA58" s="636" t="inlineStr">
        <is>
          <t>㎡・</t>
        </is>
      </c>
      <c r="AC58" s="704" t="inlineStr">
        <is>
          <t>階</t>
        </is>
      </c>
      <c r="AD58" s="939" t="n"/>
      <c r="AE58" s="706" t="n"/>
      <c r="AF58" s="939" t="n"/>
      <c r="AG58" s="939" t="n"/>
      <c r="AH58" s="939" t="n"/>
      <c r="AI58" s="636" t="inlineStr">
        <is>
          <t>㎡</t>
        </is>
      </c>
      <c r="AM58" s="265" t="n"/>
      <c r="AN58" s="265" t="n"/>
      <c r="AO58" s="252" t="n"/>
      <c r="AP58" s="636" t="inlineStr">
        <is>
          <t>合計</t>
        </is>
      </c>
      <c r="AR58" s="706">
        <f>O56+W56+AE56</f>
        <v/>
      </c>
      <c r="AS58" s="939" t="n"/>
      <c r="AT58" s="939" t="n"/>
      <c r="AU58" s="939" t="n"/>
      <c r="AV58" s="637" t="inlineStr">
        <is>
          <t>㎡</t>
        </is>
      </c>
      <c r="AW58" s="1062" t="n"/>
      <c r="AY58" s="244" t="n"/>
      <c r="BA58" s="246" t="n"/>
      <c r="BB58" s="246" t="n"/>
      <c r="BC58" s="246" t="n"/>
      <c r="BD58" s="246" t="n"/>
      <c r="BE58" s="246" t="n"/>
      <c r="BF58" s="246" t="n"/>
      <c r="BG58" s="246" t="n"/>
      <c r="BH58" s="246" t="n"/>
      <c r="BI58" s="246" t="n"/>
      <c r="BJ58" s="246" t="n"/>
      <c r="BK58" s="246" t="n"/>
      <c r="BL58" s="246" t="n"/>
      <c r="BM58" s="246" t="n"/>
      <c r="BN58" s="246" t="n"/>
      <c r="BO58" s="246" t="n"/>
      <c r="BP58" s="246" t="n"/>
      <c r="BQ58" s="246" t="n"/>
      <c r="BR58" s="246" t="n"/>
      <c r="BS58" s="246" t="n"/>
      <c r="BT58" s="246" t="n"/>
      <c r="BU58" s="246" t="n"/>
      <c r="BV58" s="246" t="n"/>
      <c r="BW58" s="246" t="n"/>
      <c r="BX58" s="246" t="n"/>
      <c r="BY58" s="246" t="n"/>
      <c r="BZ58" s="246" t="n"/>
      <c r="CA58" s="246" t="n"/>
      <c r="CB58" s="246" t="n"/>
      <c r="CC58" s="246" t="n"/>
      <c r="CD58" s="246" t="n"/>
    </row>
    <row r="59" ht="10.5" customHeight="1">
      <c r="B59" s="1061" t="n"/>
      <c r="C59" s="1062" t="n"/>
      <c r="D59" s="1054" t="n"/>
      <c r="E59" s="1055" t="n"/>
      <c r="F59" s="1055" t="n"/>
      <c r="G59" s="1056" t="n"/>
      <c r="H59" s="1051" t="n"/>
      <c r="I59" s="1052" t="n"/>
      <c r="J59" s="1052" t="n"/>
      <c r="K59" s="1052" t="n"/>
      <c r="L59" s="1053" t="n"/>
      <c r="M59" s="1051" t="n"/>
      <c r="N59" s="1052" t="n"/>
      <c r="O59" s="1052" t="n"/>
      <c r="P59" s="1052" t="n"/>
      <c r="Q59" s="1052" t="n"/>
      <c r="R59" s="1052" t="n"/>
      <c r="S59" s="1055" t="n"/>
      <c r="T59" s="1055" t="n"/>
      <c r="U59" s="1052" t="n"/>
      <c r="V59" s="1052" t="n"/>
      <c r="W59" s="1052" t="n"/>
      <c r="X59" s="1052" t="n"/>
      <c r="Y59" s="1052" t="n"/>
      <c r="Z59" s="1052" t="n"/>
      <c r="AA59" s="1055" t="n"/>
      <c r="AB59" s="1055" t="n"/>
      <c r="AC59" s="1052" t="n"/>
      <c r="AD59" s="1052" t="n"/>
      <c r="AE59" s="1052" t="n"/>
      <c r="AF59" s="1052" t="n"/>
      <c r="AG59" s="1052" t="n"/>
      <c r="AH59" s="1052" t="n"/>
      <c r="AI59" s="1055" t="n"/>
      <c r="AJ59" s="1055" t="n"/>
      <c r="AK59" s="267" t="n"/>
      <c r="AL59" s="267" t="n"/>
      <c r="AM59" s="268" t="n"/>
      <c r="AN59" s="268" t="n"/>
      <c r="AO59" s="268" t="n"/>
      <c r="AP59" s="1055" t="n"/>
      <c r="AQ59" s="1055" t="n"/>
      <c r="AR59" s="1052" t="n"/>
      <c r="AS59" s="1052" t="n"/>
      <c r="AT59" s="1052" t="n"/>
      <c r="AU59" s="1052" t="n"/>
      <c r="AV59" s="1055" t="n"/>
      <c r="AW59" s="1056" t="n"/>
      <c r="AY59" s="244" t="n"/>
      <c r="AZ59" s="246" t="n"/>
      <c r="BA59" s="246" t="n"/>
      <c r="BB59" s="246" t="n"/>
      <c r="BC59" s="246" t="n"/>
      <c r="BD59" s="246" t="n"/>
      <c r="BE59" s="246" t="n"/>
      <c r="BF59" s="246" t="n"/>
      <c r="BG59" s="246" t="n"/>
      <c r="BH59" s="246" t="n"/>
      <c r="BI59" s="246" t="n"/>
      <c r="BJ59" s="246" t="n"/>
      <c r="BK59" s="246" t="n"/>
      <c r="BL59" s="246" t="n"/>
      <c r="BM59" s="246" t="n"/>
      <c r="BN59" s="246" t="n"/>
      <c r="BO59" s="246" t="n"/>
      <c r="BP59" s="246" t="n"/>
      <c r="BQ59" s="246" t="n"/>
      <c r="BR59" s="246" t="n"/>
      <c r="BS59" s="246" t="n"/>
      <c r="BT59" s="246" t="n"/>
      <c r="BU59" s="246" t="n"/>
      <c r="BV59" s="246" t="n"/>
      <c r="BW59" s="246" t="n"/>
      <c r="BX59" s="246" t="n"/>
      <c r="BY59" s="246" t="n"/>
      <c r="BZ59" s="246" t="n"/>
      <c r="CA59" s="246" t="n"/>
      <c r="CB59" s="246" t="n"/>
      <c r="CC59" s="246" t="n"/>
    </row>
    <row r="60" ht="10.5" customHeight="1">
      <c r="B60" s="1061" t="n"/>
      <c r="C60" s="1062" t="n"/>
      <c r="D60" s="695" t="inlineStr">
        <is>
          <t>建築時期</t>
        </is>
      </c>
      <c r="E60" s="1039" t="n"/>
      <c r="F60" s="1039" t="n"/>
      <c r="G60" s="1040" t="n"/>
      <c r="H60" s="1070" t="inlineStr">
        <is>
          <t>■</t>
        </is>
      </c>
      <c r="I60" s="1094" t="inlineStr">
        <is>
          <t>平成</t>
        </is>
      </c>
      <c r="J60" s="1042" t="n"/>
      <c r="K60" s="1042" t="n"/>
      <c r="L60" s="1095" t="n"/>
      <c r="M60" s="1042" t="n"/>
      <c r="N60" s="1096" t="inlineStr">
        <is>
          <t>年</t>
        </is>
      </c>
      <c r="O60" s="1045" t="n"/>
      <c r="P60" s="1095" t="n"/>
      <c r="Q60" s="1042" t="n"/>
      <c r="R60" s="1096" t="inlineStr">
        <is>
          <t>月</t>
        </is>
      </c>
      <c r="S60" s="1045" t="n"/>
      <c r="T60" s="1095" t="n"/>
      <c r="U60" s="1042" t="n"/>
      <c r="V60" s="1096" t="inlineStr">
        <is>
          <t>日新築</t>
        </is>
      </c>
      <c r="W60" s="1045" t="n"/>
      <c r="X60" s="1045" t="n"/>
      <c r="Y60" s="1045" t="n"/>
      <c r="Z60" s="1096" t="inlineStr">
        <is>
          <t>（</t>
        </is>
      </c>
      <c r="AA60" s="1094" t="n"/>
      <c r="AB60" s="1042" t="n"/>
      <c r="AC60" s="1042" t="n"/>
      <c r="AD60" s="1094" t="n"/>
      <c r="AE60" s="1042" t="n"/>
      <c r="AF60" s="1042" t="n"/>
      <c r="AG60" s="1095" t="n"/>
      <c r="AH60" s="1042" t="n"/>
      <c r="AI60" s="1096" t="inlineStr">
        <is>
          <t>年</t>
        </is>
      </c>
      <c r="AJ60" s="1045" t="n"/>
      <c r="AK60" s="1095" t="n"/>
      <c r="AL60" s="1042" t="n"/>
      <c r="AM60" s="1096" t="inlineStr">
        <is>
          <t>月</t>
        </is>
      </c>
      <c r="AN60" s="1045" t="n"/>
      <c r="AO60" s="1096" t="inlineStr">
        <is>
          <t>）</t>
        </is>
      </c>
      <c r="AP60" s="1089" t="inlineStr">
        <is>
          <t>・</t>
        </is>
      </c>
      <c r="AQ60" s="1045" t="n"/>
      <c r="AR60" s="1072" t="inlineStr">
        <is>
          <t>□</t>
        </is>
      </c>
      <c r="AS60" s="1089" t="inlineStr">
        <is>
          <t>不詳</t>
        </is>
      </c>
      <c r="AT60" s="1045" t="n"/>
      <c r="AU60" s="1045" t="n"/>
      <c r="AV60" s="269" t="n"/>
      <c r="AW60" s="270" t="n"/>
      <c r="AY60" s="244" t="n"/>
      <c r="AZ60" s="246" t="n"/>
      <c r="BA60" s="246" t="n"/>
      <c r="BB60" s="246" t="n"/>
      <c r="BC60" s="246" t="n"/>
      <c r="BD60" s="246" t="n"/>
      <c r="BE60" s="246" t="n"/>
      <c r="BF60" s="246" t="n"/>
      <c r="BG60" s="246" t="n"/>
      <c r="BH60" s="246" t="n"/>
      <c r="BI60" s="246" t="n"/>
      <c r="BJ60" s="246" t="n"/>
      <c r="BK60" s="246" t="n"/>
      <c r="BL60" s="246" t="n"/>
      <c r="BM60" s="246" t="n"/>
      <c r="BN60" s="246" t="n"/>
      <c r="BO60" s="246" t="n"/>
      <c r="BP60" s="246" t="n"/>
      <c r="BQ60" s="246" t="n"/>
      <c r="BR60" s="246" t="n"/>
      <c r="BS60" s="246" t="n"/>
      <c r="BT60" s="246" t="n"/>
      <c r="BU60" s="246" t="n"/>
      <c r="BV60" s="246" t="n"/>
      <c r="BW60" s="246" t="n"/>
      <c r="BX60" s="246" t="n"/>
      <c r="BY60" s="246" t="n"/>
      <c r="BZ60" s="246" t="n"/>
      <c r="CA60" s="246" t="n"/>
      <c r="CB60" s="246" t="n"/>
      <c r="CC60" s="246" t="n"/>
    </row>
    <row r="61" ht="10.5" customHeight="1">
      <c r="B61" s="1054" t="n"/>
      <c r="C61" s="1056" t="n"/>
      <c r="D61" s="1048" t="n"/>
      <c r="E61" s="1049" t="n"/>
      <c r="F61" s="1049" t="n"/>
      <c r="G61" s="1050" t="n"/>
      <c r="H61" s="1051" t="n"/>
      <c r="I61" s="1052" t="n"/>
      <c r="J61" s="1052" t="n"/>
      <c r="K61" s="1052" t="n"/>
      <c r="L61" s="1052" t="n"/>
      <c r="M61" s="1052" t="n"/>
      <c r="N61" s="1055" t="n"/>
      <c r="O61" s="1055" t="n"/>
      <c r="P61" s="1052" t="n"/>
      <c r="Q61" s="1052" t="n"/>
      <c r="R61" s="1055" t="n"/>
      <c r="S61" s="1055" t="n"/>
      <c r="T61" s="1052" t="n"/>
      <c r="U61" s="1052" t="n"/>
      <c r="V61" s="1055" t="n"/>
      <c r="W61" s="1055" t="n"/>
      <c r="X61" s="1055" t="n"/>
      <c r="Y61" s="1055" t="n"/>
      <c r="Z61" s="1055" t="n"/>
      <c r="AA61" s="1052" t="n"/>
      <c r="AB61" s="1052" t="n"/>
      <c r="AC61" s="1052" t="n"/>
      <c r="AD61" s="1052" t="n"/>
      <c r="AE61" s="1052" t="n"/>
      <c r="AF61" s="1052" t="n"/>
      <c r="AG61" s="1052" t="n"/>
      <c r="AH61" s="1052" t="n"/>
      <c r="AI61" s="1055" t="n"/>
      <c r="AJ61" s="1055" t="n"/>
      <c r="AK61" s="1052" t="n"/>
      <c r="AL61" s="1052" t="n"/>
      <c r="AM61" s="1055" t="n"/>
      <c r="AN61" s="1055" t="n"/>
      <c r="AO61" s="1055" t="n"/>
      <c r="AP61" s="1055" t="n"/>
      <c r="AQ61" s="1055" t="n"/>
      <c r="AR61" s="1052" t="n"/>
      <c r="AS61" s="1055" t="n"/>
      <c r="AT61" s="1055" t="n"/>
      <c r="AU61" s="1055" t="n"/>
      <c r="AV61" s="260" t="n"/>
      <c r="AW61" s="271" t="n"/>
      <c r="AY61" s="244" t="n"/>
      <c r="BE61" s="246" t="n"/>
      <c r="BF61" s="246" t="n"/>
      <c r="BG61" s="246" t="n"/>
      <c r="BH61" s="246" t="n"/>
      <c r="BI61" s="246" t="n"/>
      <c r="BJ61" s="246" t="n"/>
      <c r="BK61" s="246" t="n"/>
      <c r="BL61" s="246" t="n"/>
      <c r="BM61" s="246" t="n"/>
      <c r="BN61" s="246" t="n"/>
      <c r="BO61" s="246" t="n"/>
      <c r="BP61" s="246" t="n"/>
      <c r="BQ61" s="246" t="n"/>
      <c r="BR61" s="246" t="n"/>
      <c r="BS61" s="246" t="n"/>
      <c r="BT61" s="246" t="n"/>
      <c r="BU61" s="246" t="n"/>
      <c r="BV61" s="246" t="n"/>
      <c r="BW61" s="246" t="n"/>
      <c r="BX61" s="246" t="n"/>
      <c r="BY61" s="246" t="n"/>
      <c r="BZ61" s="246" t="n"/>
      <c r="CA61" s="246" t="n"/>
      <c r="CB61" s="246" t="n"/>
    </row>
    <row r="62" ht="10.5" customHeight="1">
      <c r="B62" s="1097" t="inlineStr">
        <is>
          <t>宅建業者売主の新築住宅の場合</t>
        </is>
      </c>
      <c r="C62" s="1045" t="n"/>
      <c r="D62" s="1045" t="n"/>
      <c r="E62" s="1045" t="n"/>
      <c r="F62" s="1045" t="n"/>
      <c r="G62" s="1045" t="n"/>
      <c r="H62" s="1045" t="n"/>
      <c r="I62" s="1045" t="n"/>
      <c r="J62" s="1045" t="n"/>
      <c r="K62" s="1046" t="n"/>
      <c r="L62" s="1075" t="inlineStr">
        <is>
          <t>販売瑕疵負担割合</t>
        </is>
      </c>
      <c r="M62" s="1045" t="n"/>
      <c r="N62" s="1045" t="n"/>
      <c r="O62" s="1045" t="n"/>
      <c r="P62" s="1045" t="n"/>
      <c r="Q62" s="1045" t="n"/>
      <c r="R62" s="1045" t="n"/>
      <c r="S62" s="1046" t="n"/>
      <c r="T62" s="1078" t="inlineStr">
        <is>
          <t>-</t>
        </is>
      </c>
      <c r="U62" s="1042" t="n"/>
      <c r="V62" s="1042" t="n"/>
      <c r="W62" s="1073" t="inlineStr">
        <is>
          <t>％</t>
        </is>
      </c>
      <c r="X62" s="1046" t="n"/>
      <c r="Y62" s="1074" t="inlineStr">
        <is>
          <t>住宅瑕疵担保責任保険法人名</t>
        </is>
      </c>
      <c r="Z62" s="1045" t="n"/>
      <c r="AA62" s="1045" t="n"/>
      <c r="AB62" s="1045" t="n"/>
      <c r="AC62" s="1045" t="n"/>
      <c r="AD62" s="1045" t="n"/>
      <c r="AE62" s="1045" t="n"/>
      <c r="AF62" s="1045" t="n"/>
      <c r="AG62" s="1045" t="n"/>
      <c r="AH62" s="1045" t="n"/>
      <c r="AI62" s="1045" t="n"/>
      <c r="AJ62" s="1045" t="n"/>
      <c r="AK62" s="1046" t="n"/>
      <c r="AL62" s="1069" t="inlineStr">
        <is>
          <t>-</t>
        </is>
      </c>
      <c r="AM62" s="1042" t="n"/>
      <c r="AN62" s="1042" t="n"/>
      <c r="AO62" s="1042" t="n"/>
      <c r="AP62" s="1042" t="n"/>
      <c r="AQ62" s="1042" t="n"/>
      <c r="AR62" s="1042" t="n"/>
      <c r="AS62" s="1042" t="n"/>
      <c r="AT62" s="1042" t="n"/>
      <c r="AU62" s="1042" t="n"/>
      <c r="AV62" s="1042" t="n"/>
      <c r="AW62" s="1043" t="n"/>
      <c r="AY62" s="244" t="n"/>
      <c r="BE62" s="246" t="n"/>
      <c r="BF62" s="246" t="n"/>
      <c r="BG62" s="246" t="n"/>
      <c r="BH62" s="246" t="n"/>
      <c r="BI62" s="246" t="n"/>
      <c r="BJ62" s="246" t="n"/>
      <c r="BK62" s="246" t="n"/>
      <c r="BL62" s="246" t="n"/>
      <c r="BM62" s="246" t="n"/>
      <c r="BN62" s="246" t="n"/>
      <c r="BO62" s="246" t="n"/>
      <c r="BP62" s="246" t="n"/>
      <c r="BQ62" s="246" t="n"/>
      <c r="BR62" s="246" t="n"/>
      <c r="BS62" s="246" t="n"/>
      <c r="BT62" s="246" t="n"/>
      <c r="BU62" s="246" t="n"/>
      <c r="BV62" s="246" t="n"/>
      <c r="BW62" s="246" t="n"/>
      <c r="BX62" s="246" t="n"/>
      <c r="BY62" s="246" t="n"/>
      <c r="BZ62" s="246" t="n"/>
      <c r="CA62" s="246" t="n"/>
      <c r="CB62" s="246" t="n"/>
    </row>
    <row r="63" ht="10.5" customHeight="1">
      <c r="B63" s="1054" t="n"/>
      <c r="C63" s="1055" t="n"/>
      <c r="D63" s="1055" t="n"/>
      <c r="E63" s="1055" t="n"/>
      <c r="F63" s="1055" t="n"/>
      <c r="G63" s="1055" t="n"/>
      <c r="H63" s="1055" t="n"/>
      <c r="I63" s="1055" t="n"/>
      <c r="J63" s="1055" t="n"/>
      <c r="K63" s="1056" t="n"/>
      <c r="L63" s="1054" t="n"/>
      <c r="M63" s="1055" t="n"/>
      <c r="N63" s="1055" t="n"/>
      <c r="O63" s="1055" t="n"/>
      <c r="P63" s="1055" t="n"/>
      <c r="Q63" s="1055" t="n"/>
      <c r="R63" s="1055" t="n"/>
      <c r="S63" s="1056" t="n"/>
      <c r="T63" s="1051" t="n"/>
      <c r="U63" s="1052" t="n"/>
      <c r="V63" s="1052" t="n"/>
      <c r="W63" s="1055" t="n"/>
      <c r="X63" s="1056" t="n"/>
      <c r="Y63" s="1054" t="n"/>
      <c r="Z63" s="1055" t="n"/>
      <c r="AA63" s="1055" t="n"/>
      <c r="AB63" s="1055" t="n"/>
      <c r="AC63" s="1055" t="n"/>
      <c r="AD63" s="1055" t="n"/>
      <c r="AE63" s="1055" t="n"/>
      <c r="AF63" s="1055" t="n"/>
      <c r="AG63" s="1055" t="n"/>
      <c r="AH63" s="1055" t="n"/>
      <c r="AI63" s="1055" t="n"/>
      <c r="AJ63" s="1055" t="n"/>
      <c r="AK63" s="1056" t="n"/>
      <c r="AL63" s="1051" t="n"/>
      <c r="AM63" s="1052" t="n"/>
      <c r="AN63" s="1052" t="n"/>
      <c r="AO63" s="1052" t="n"/>
      <c r="AP63" s="1052" t="n"/>
      <c r="AQ63" s="1052" t="n"/>
      <c r="AR63" s="1052" t="n"/>
      <c r="AS63" s="1052" t="n"/>
      <c r="AT63" s="1052" t="n"/>
      <c r="AU63" s="1052" t="n"/>
      <c r="AV63" s="1052" t="n"/>
      <c r="AW63" s="1053" t="n"/>
      <c r="AY63" s="244" t="n"/>
      <c r="BE63" s="246" t="n"/>
      <c r="BF63" s="246" t="n"/>
      <c r="BG63" s="246" t="n"/>
      <c r="BH63" s="246" t="n"/>
      <c r="BI63" s="246" t="n"/>
      <c r="BJ63" s="246" t="n"/>
      <c r="BK63" s="246" t="n"/>
      <c r="BL63" s="246" t="n"/>
      <c r="BM63" s="246" t="n"/>
      <c r="BN63" s="246" t="n"/>
      <c r="BO63" s="246" t="n"/>
      <c r="BP63" s="246" t="n"/>
      <c r="BQ63" s="246" t="n"/>
      <c r="BR63" s="246" t="n"/>
      <c r="BS63" s="246" t="n"/>
      <c r="BT63" s="246" t="n"/>
      <c r="BU63" s="246" t="n"/>
      <c r="BV63" s="246" t="n"/>
      <c r="BW63" s="246" t="n"/>
      <c r="BX63" s="246" t="n"/>
      <c r="BY63" s="246" t="n"/>
      <c r="BZ63" s="246" t="n"/>
      <c r="CA63" s="246" t="n"/>
      <c r="CB63" s="246" t="n"/>
    </row>
    <row r="64" ht="10.5" customHeight="1">
      <c r="B64" s="252" t="n"/>
      <c r="C64" s="252" t="n"/>
      <c r="D64" s="252" t="n"/>
      <c r="E64" s="252" t="n"/>
      <c r="F64" s="252" t="n"/>
      <c r="G64" s="252" t="n"/>
      <c r="H64" s="252" t="n"/>
      <c r="I64" s="252" t="n"/>
      <c r="J64" s="252" t="n"/>
      <c r="K64" s="252" t="n"/>
      <c r="L64" s="272" t="n"/>
      <c r="M64" s="272" t="n"/>
      <c r="N64" s="272" t="n"/>
      <c r="O64" s="273" t="n"/>
      <c r="P64" s="273" t="n"/>
      <c r="Q64" s="273" t="n"/>
      <c r="R64" s="273" t="n"/>
      <c r="S64" s="272" t="n"/>
      <c r="T64" s="272" t="n"/>
      <c r="U64" s="272" t="n"/>
      <c r="V64" s="272" t="n"/>
      <c r="W64" s="272" t="n"/>
      <c r="X64" s="272" t="n"/>
      <c r="AL64" s="272" t="n"/>
      <c r="AM64" s="272" t="n"/>
      <c r="AN64" s="272" t="n"/>
      <c r="AO64" s="272" t="n"/>
      <c r="AP64" s="272" t="n"/>
      <c r="AQ64" s="272" t="n"/>
      <c r="AR64" s="272" t="n"/>
      <c r="AS64" s="272" t="n"/>
      <c r="AT64" s="272" t="n"/>
      <c r="AU64" s="272" t="n"/>
      <c r="AV64" s="272" t="n"/>
      <c r="AW64" s="272" t="n"/>
      <c r="AY64" s="244" t="n"/>
      <c r="BE64" s="246" t="n"/>
      <c r="BF64" s="246" t="n"/>
      <c r="BG64" s="246" t="n"/>
      <c r="BH64" s="246" t="n"/>
      <c r="BI64" s="246" t="n"/>
      <c r="BJ64" s="246" t="n"/>
      <c r="BK64" s="246" t="n"/>
      <c r="BL64" s="246" t="n"/>
      <c r="BM64" s="246" t="n"/>
      <c r="BN64" s="246" t="n"/>
      <c r="BO64" s="246" t="n"/>
      <c r="BP64" s="246" t="n"/>
      <c r="BQ64" s="246" t="n"/>
      <c r="BR64" s="246" t="n"/>
      <c r="BS64" s="246" t="n"/>
      <c r="BT64" s="246" t="n"/>
      <c r="BU64" s="246" t="n"/>
      <c r="BV64" s="246" t="n"/>
      <c r="BW64" s="246" t="n"/>
      <c r="BX64" s="246" t="n"/>
      <c r="BY64" s="246" t="n"/>
      <c r="BZ64" s="246" t="n"/>
      <c r="CA64" s="246" t="n"/>
      <c r="CB64" s="246" t="n"/>
    </row>
    <row r="65" ht="10.5" customHeight="1">
      <c r="B65" s="1098" t="inlineStr">
        <is>
          <t>取引条件</t>
        </is>
      </c>
      <c r="C65" s="1046" t="n"/>
      <c r="D65" s="1099" t="inlineStr">
        <is>
          <t>売買金額</t>
        </is>
      </c>
      <c r="E65" s="1045" t="n"/>
      <c r="F65" s="1045" t="n"/>
      <c r="G65" s="1046" t="n"/>
      <c r="H65" s="257" t="n"/>
      <c r="I65" s="257" t="n"/>
      <c r="J65" s="257" t="n"/>
      <c r="K65" s="257" t="n"/>
      <c r="L65" s="257" t="n"/>
      <c r="M65" s="257" t="n"/>
      <c r="N65" s="257" t="n"/>
      <c r="O65" s="274" t="n"/>
      <c r="P65" s="274" t="n"/>
      <c r="Q65" s="274" t="n"/>
      <c r="R65" s="274" t="n"/>
      <c r="S65" s="257" t="n"/>
      <c r="T65" s="257" t="n"/>
      <c r="U65" s="1100" t="inlineStr">
        <is>
          <t>（左記売買代金のうち土地価格）</t>
        </is>
      </c>
      <c r="V65" s="1045" t="n"/>
      <c r="W65" s="1045" t="n"/>
      <c r="X65" s="1045" t="n"/>
      <c r="Y65" s="1045" t="n"/>
      <c r="Z65" s="1045" t="n"/>
      <c r="AA65" s="1045" t="n"/>
      <c r="AB65" s="1045" t="n"/>
      <c r="AC65" s="1045" t="n"/>
      <c r="AD65" s="1045" t="n"/>
      <c r="AE65" s="1045" t="n"/>
      <c r="AF65" s="1045" t="n"/>
      <c r="AG65" s="1045" t="n"/>
      <c r="AH65" s="1045" t="n"/>
      <c r="AI65" s="1045" t="n"/>
      <c r="AJ65" s="1045" t="n"/>
      <c r="AK65" s="1045" t="n"/>
      <c r="AL65" s="1045" t="n"/>
      <c r="AM65" s="1101">
        <f>H67</f>
        <v/>
      </c>
      <c r="AN65" s="1042" t="n"/>
      <c r="AO65" s="1042" t="n"/>
      <c r="AP65" s="1042" t="n"/>
      <c r="AQ65" s="1042" t="n"/>
      <c r="AR65" s="1042" t="n"/>
      <c r="AS65" s="1042" t="n"/>
      <c r="AT65" s="1042" t="n"/>
      <c r="AU65" s="1042" t="n"/>
      <c r="AV65" s="1102" t="inlineStr">
        <is>
          <t>円</t>
        </is>
      </c>
      <c r="AW65" s="1046" t="n"/>
      <c r="AY65" s="244" t="n"/>
      <c r="BE65" s="246" t="n"/>
      <c r="BF65" s="246" t="n"/>
      <c r="BG65" s="246" t="n"/>
      <c r="BH65" s="246" t="n"/>
      <c r="BI65" s="246" t="n"/>
      <c r="BJ65" s="246" t="n"/>
      <c r="BK65" s="246" t="n"/>
      <c r="BL65" s="246" t="n"/>
      <c r="BM65" s="246" t="n"/>
      <c r="BN65" s="246" t="n"/>
      <c r="BO65" s="246" t="n"/>
      <c r="BP65" s="246" t="n"/>
      <c r="BQ65" s="246" t="n"/>
      <c r="BR65" s="246" t="n"/>
      <c r="BS65" s="246" t="n"/>
      <c r="BT65" s="246" t="n"/>
      <c r="BU65" s="246" t="n"/>
      <c r="BV65" s="246" t="n"/>
      <c r="BW65" s="246" t="n"/>
      <c r="BX65" s="246" t="n"/>
      <c r="BY65" s="246" t="n"/>
      <c r="BZ65" s="246" t="n"/>
      <c r="CA65" s="246" t="n"/>
      <c r="CB65" s="246" t="n"/>
    </row>
    <row r="66" ht="10.5" customHeight="1">
      <c r="B66" s="1061" t="n"/>
      <c r="C66" s="1062" t="n"/>
      <c r="G66" s="1062" t="n"/>
      <c r="H66" s="272" t="n"/>
      <c r="I66" s="272" t="n"/>
      <c r="J66" s="272" t="n"/>
      <c r="K66" s="272" t="n"/>
      <c r="L66" s="272" t="n"/>
      <c r="M66" s="272" t="n"/>
      <c r="N66" s="272" t="n"/>
      <c r="O66" s="273" t="n"/>
      <c r="P66" s="273" t="n"/>
      <c r="Q66" s="273" t="n"/>
      <c r="R66" s="273" t="n"/>
      <c r="S66" s="272" t="n"/>
      <c r="T66" s="272" t="n"/>
      <c r="U66" s="1054" t="n"/>
      <c r="V66" s="1055" t="n"/>
      <c r="W66" s="1055" t="n"/>
      <c r="X66" s="1055" t="n"/>
      <c r="Y66" s="1055" t="n"/>
      <c r="Z66" s="1055" t="n"/>
      <c r="AA66" s="1055" t="n"/>
      <c r="AB66" s="1055" t="n"/>
      <c r="AC66" s="1055" t="n"/>
      <c r="AD66" s="1055" t="n"/>
      <c r="AE66" s="1055" t="n"/>
      <c r="AF66" s="1055" t="n"/>
      <c r="AG66" s="1055" t="n"/>
      <c r="AH66" s="1055" t="n"/>
      <c r="AI66" s="1055" t="n"/>
      <c r="AJ66" s="1055" t="n"/>
      <c r="AK66" s="1055" t="n"/>
      <c r="AL66" s="1055" t="n"/>
      <c r="AM66" s="1052" t="n"/>
      <c r="AN66" s="1052" t="n"/>
      <c r="AO66" s="1052" t="n"/>
      <c r="AP66" s="1052" t="n"/>
      <c r="AQ66" s="1052" t="n"/>
      <c r="AR66" s="1052" t="n"/>
      <c r="AS66" s="1052" t="n"/>
      <c r="AT66" s="1052" t="n"/>
      <c r="AU66" s="1052" t="n"/>
      <c r="AV66" s="1055" t="n"/>
      <c r="AW66" s="1056" t="n"/>
      <c r="AY66" s="244" t="n"/>
      <c r="BE66" s="246" t="n"/>
      <c r="BF66" s="246" t="n"/>
      <c r="BG66" s="246" t="n"/>
      <c r="BH66" s="246" t="n"/>
      <c r="BI66" s="246" t="n"/>
      <c r="BJ66" s="246" t="n"/>
      <c r="BK66" s="246" t="n"/>
      <c r="BL66" s="246" t="n"/>
      <c r="BM66" s="246" t="n"/>
      <c r="BN66" s="246" t="n"/>
      <c r="BO66" s="246" t="n"/>
      <c r="BP66" s="246" t="n"/>
      <c r="BQ66" s="246" t="n"/>
      <c r="BR66" s="246" t="n"/>
      <c r="BS66" s="246" t="n"/>
      <c r="BT66" s="246" t="n"/>
      <c r="BU66" s="246" t="n"/>
      <c r="BV66" s="246" t="n"/>
      <c r="BW66" s="246" t="n"/>
      <c r="BX66" s="246" t="n"/>
      <c r="BY66" s="246" t="n"/>
      <c r="BZ66" s="246" t="n"/>
      <c r="CA66" s="246" t="n"/>
      <c r="CB66" s="246" t="n"/>
    </row>
    <row r="67" ht="10.5" customHeight="1">
      <c r="B67" s="1061" t="n"/>
      <c r="C67" s="1062" t="n"/>
      <c r="G67" s="1062" t="n"/>
      <c r="H67" s="1103">
        <f>'②（土地・建物）事業収支シート'!M22</f>
        <v/>
      </c>
      <c r="I67" s="939" t="n"/>
      <c r="J67" s="939" t="n"/>
      <c r="K67" s="939" t="n"/>
      <c r="L67" s="939" t="n"/>
      <c r="M67" s="939" t="n"/>
      <c r="N67" s="939" t="n"/>
      <c r="O67" s="939" t="n"/>
      <c r="P67" s="939" t="n"/>
      <c r="Q67" s="939" t="n"/>
      <c r="R67" s="939" t="n"/>
      <c r="S67" s="635" t="inlineStr">
        <is>
          <t>円</t>
        </is>
      </c>
      <c r="T67" s="1062" t="n"/>
      <c r="U67" s="1100" t="inlineStr">
        <is>
          <t>（左記売買代金のうち建物価格）</t>
        </is>
      </c>
      <c r="V67" s="1045" t="n"/>
      <c r="W67" s="1045" t="n"/>
      <c r="X67" s="1045" t="n"/>
      <c r="Y67" s="1045" t="n"/>
      <c r="Z67" s="1045" t="n"/>
      <c r="AA67" s="1045" t="n"/>
      <c r="AB67" s="1045" t="n"/>
      <c r="AC67" s="1045" t="n"/>
      <c r="AD67" s="1045" t="n"/>
      <c r="AE67" s="1045" t="n"/>
      <c r="AF67" s="1045" t="n"/>
      <c r="AG67" s="1045" t="n"/>
      <c r="AH67" s="1045" t="n"/>
      <c r="AI67" s="1045" t="n"/>
      <c r="AJ67" s="1045" t="n"/>
      <c r="AK67" s="1045" t="n"/>
      <c r="AL67" s="1045" t="n"/>
      <c r="AM67" s="1101" t="n"/>
      <c r="AN67" s="1042" t="n"/>
      <c r="AO67" s="1042" t="n"/>
      <c r="AP67" s="1042" t="n"/>
      <c r="AQ67" s="1042" t="n"/>
      <c r="AR67" s="1042" t="n"/>
      <c r="AS67" s="1042" t="n"/>
      <c r="AT67" s="1042" t="n"/>
      <c r="AU67" s="1042" t="n"/>
      <c r="AV67" s="1102" t="inlineStr">
        <is>
          <t>円</t>
        </is>
      </c>
      <c r="AW67" s="1046" t="n"/>
      <c r="AY67" s="244" t="n"/>
      <c r="BE67" s="246" t="n"/>
      <c r="BF67" s="246" t="n"/>
      <c r="BG67" s="246" t="n"/>
      <c r="BH67" s="246" t="n"/>
      <c r="BI67" s="246" t="n"/>
      <c r="BJ67" s="246" t="n"/>
      <c r="BK67" s="246" t="n"/>
      <c r="BL67" s="246" t="n"/>
      <c r="BM67" s="246" t="n"/>
      <c r="BN67" s="246" t="n"/>
      <c r="BO67" s="246" t="n"/>
      <c r="BP67" s="246" t="n"/>
      <c r="BQ67" s="246" t="n"/>
      <c r="BR67" s="246" t="n"/>
      <c r="BS67" s="246" t="n"/>
      <c r="BT67" s="246" t="n"/>
      <c r="BU67" s="246" t="n"/>
      <c r="BV67" s="246" t="n"/>
      <c r="BW67" s="246" t="n"/>
      <c r="BX67" s="246" t="n"/>
      <c r="BY67" s="246" t="n"/>
      <c r="BZ67" s="246" t="n"/>
      <c r="CA67" s="246" t="n"/>
      <c r="CB67" s="246" t="n"/>
    </row>
    <row r="68" ht="10.5" customHeight="1">
      <c r="B68" s="1061" t="n"/>
      <c r="C68" s="1062" t="n"/>
      <c r="G68" s="1062" t="n"/>
      <c r="H68" s="1082" t="n"/>
      <c r="I68" s="939" t="n"/>
      <c r="J68" s="939" t="n"/>
      <c r="K68" s="939" t="n"/>
      <c r="L68" s="939" t="n"/>
      <c r="M68" s="939" t="n"/>
      <c r="N68" s="939" t="n"/>
      <c r="O68" s="939" t="n"/>
      <c r="P68" s="939" t="n"/>
      <c r="Q68" s="939" t="n"/>
      <c r="R68" s="939" t="n"/>
      <c r="T68" s="1062" t="n"/>
      <c r="U68" s="1054" t="n"/>
      <c r="V68" s="1055" t="n"/>
      <c r="W68" s="1055" t="n"/>
      <c r="X68" s="1055" t="n"/>
      <c r="Y68" s="1055" t="n"/>
      <c r="Z68" s="1055" t="n"/>
      <c r="AA68" s="1055" t="n"/>
      <c r="AB68" s="1055" t="n"/>
      <c r="AC68" s="1055" t="n"/>
      <c r="AD68" s="1055" t="n"/>
      <c r="AE68" s="1055" t="n"/>
      <c r="AF68" s="1055" t="n"/>
      <c r="AG68" s="1055" t="n"/>
      <c r="AH68" s="1055" t="n"/>
      <c r="AI68" s="1055" t="n"/>
      <c r="AJ68" s="1055" t="n"/>
      <c r="AK68" s="1055" t="n"/>
      <c r="AL68" s="1055" t="n"/>
      <c r="AM68" s="1052" t="n"/>
      <c r="AN68" s="1052" t="n"/>
      <c r="AO68" s="1052" t="n"/>
      <c r="AP68" s="1052" t="n"/>
      <c r="AQ68" s="1052" t="n"/>
      <c r="AR68" s="1052" t="n"/>
      <c r="AS68" s="1052" t="n"/>
      <c r="AT68" s="1052" t="n"/>
      <c r="AU68" s="1052" t="n"/>
      <c r="AV68" s="1055" t="n"/>
      <c r="AW68" s="1056" t="n"/>
      <c r="AY68" s="244" t="n"/>
      <c r="BE68" s="246" t="n"/>
      <c r="BF68" s="246" t="n"/>
      <c r="BG68" s="246" t="n"/>
      <c r="BH68" s="246" t="n"/>
      <c r="BI68" s="246" t="n"/>
      <c r="BJ68" s="246" t="n"/>
      <c r="BK68" s="246" t="n"/>
      <c r="BL68" s="246" t="n"/>
      <c r="BM68" s="246" t="n"/>
      <c r="BN68" s="246" t="n"/>
      <c r="BO68" s="246" t="n"/>
      <c r="BP68" s="246" t="n"/>
      <c r="BQ68" s="246" t="n"/>
      <c r="BR68" s="246" t="n"/>
      <c r="BS68" s="246" t="n"/>
      <c r="BT68" s="246" t="n"/>
      <c r="BU68" s="246" t="n"/>
      <c r="BV68" s="246" t="n"/>
      <c r="BW68" s="246" t="n"/>
      <c r="BX68" s="246" t="n"/>
      <c r="BY68" s="246" t="n"/>
      <c r="BZ68" s="246" t="n"/>
      <c r="CA68" s="246" t="n"/>
      <c r="CB68" s="246" t="n"/>
    </row>
    <row r="69" ht="10.5" customHeight="1">
      <c r="B69" s="1061" t="n"/>
      <c r="C69" s="1062" t="n"/>
      <c r="G69" s="1062" t="n"/>
      <c r="H69" s="272" t="n"/>
      <c r="I69" s="272" t="n"/>
      <c r="J69" s="272" t="n"/>
      <c r="K69" s="272" t="n"/>
      <c r="L69" s="272" t="n"/>
      <c r="M69" s="272" t="n"/>
      <c r="N69" s="272" t="n"/>
      <c r="O69" s="273" t="n"/>
      <c r="P69" s="273" t="n"/>
      <c r="Q69" s="273" t="n"/>
      <c r="R69" s="273" t="n"/>
      <c r="S69" s="272" t="n"/>
      <c r="T69" s="272" t="n"/>
      <c r="U69" s="656" t="inlineStr">
        <is>
          <t>（左記売買代金のうち消費税等相当額）</t>
        </is>
      </c>
      <c r="AM69" s="1101" t="n"/>
      <c r="AN69" s="1042" t="n"/>
      <c r="AO69" s="1042" t="n"/>
      <c r="AP69" s="1042" t="n"/>
      <c r="AQ69" s="1042" t="n"/>
      <c r="AR69" s="1042" t="n"/>
      <c r="AS69" s="1042" t="n"/>
      <c r="AT69" s="1042" t="n"/>
      <c r="AU69" s="1042" t="n"/>
      <c r="AV69" s="637" t="inlineStr">
        <is>
          <t>円</t>
        </is>
      </c>
      <c r="AW69" s="1062" t="n"/>
      <c r="AY69" s="244" t="n"/>
      <c r="BE69" s="246" t="n"/>
      <c r="BF69" s="246" t="n"/>
      <c r="BG69" s="246" t="n"/>
      <c r="BH69" s="246" t="n"/>
      <c r="BI69" s="246" t="n"/>
      <c r="BJ69" s="246" t="n"/>
      <c r="BK69" s="246" t="n"/>
      <c r="BL69" s="246" t="n"/>
      <c r="BM69" s="246" t="n"/>
      <c r="BN69" s="246" t="n"/>
      <c r="BO69" s="246" t="n"/>
      <c r="BP69" s="246" t="n"/>
      <c r="BQ69" s="246" t="n"/>
      <c r="BR69" s="246" t="n"/>
      <c r="BS69" s="246" t="n"/>
      <c r="BT69" s="246" t="n"/>
      <c r="BU69" s="246" t="n"/>
      <c r="BV69" s="246" t="n"/>
      <c r="BW69" s="246" t="n"/>
      <c r="BX69" s="246" t="n"/>
      <c r="BY69" s="246" t="n"/>
      <c r="BZ69" s="246" t="n"/>
      <c r="CA69" s="246" t="n"/>
      <c r="CB69" s="246" t="n"/>
    </row>
    <row r="70" ht="10.5" customHeight="1">
      <c r="B70" s="1061" t="n"/>
      <c r="C70" s="1062" t="n"/>
      <c r="D70" s="1055" t="n"/>
      <c r="E70" s="1055" t="n"/>
      <c r="F70" s="1055" t="n"/>
      <c r="G70" s="1056" t="n"/>
      <c r="H70" s="260" t="n"/>
      <c r="I70" s="260" t="n"/>
      <c r="J70" s="260" t="n"/>
      <c r="K70" s="260" t="n"/>
      <c r="L70" s="260" t="n"/>
      <c r="M70" s="260" t="n"/>
      <c r="N70" s="260" t="n"/>
      <c r="O70" s="268" t="n"/>
      <c r="P70" s="268" t="n"/>
      <c r="Q70" s="268" t="n"/>
      <c r="R70" s="268" t="n"/>
      <c r="S70" s="260" t="n"/>
      <c r="T70" s="260" t="n"/>
      <c r="U70" s="1054" t="n"/>
      <c r="V70" s="1055" t="n"/>
      <c r="W70" s="1055" t="n"/>
      <c r="X70" s="1055" t="n"/>
      <c r="Y70" s="1055" t="n"/>
      <c r="Z70" s="1055" t="n"/>
      <c r="AA70" s="1055" t="n"/>
      <c r="AB70" s="1055" t="n"/>
      <c r="AC70" s="1055" t="n"/>
      <c r="AD70" s="1055" t="n"/>
      <c r="AE70" s="1055" t="n"/>
      <c r="AF70" s="1055" t="n"/>
      <c r="AG70" s="1055" t="n"/>
      <c r="AH70" s="1055" t="n"/>
      <c r="AI70" s="1055" t="n"/>
      <c r="AJ70" s="1055" t="n"/>
      <c r="AK70" s="1055" t="n"/>
      <c r="AL70" s="1055" t="n"/>
      <c r="AM70" s="1052" t="n"/>
      <c r="AN70" s="1052" t="n"/>
      <c r="AO70" s="1052" t="n"/>
      <c r="AP70" s="1052" t="n"/>
      <c r="AQ70" s="1052" t="n"/>
      <c r="AR70" s="1052" t="n"/>
      <c r="AS70" s="1052" t="n"/>
      <c r="AT70" s="1052" t="n"/>
      <c r="AU70" s="1052" t="n"/>
      <c r="AV70" s="1055" t="n"/>
      <c r="AW70" s="1056" t="n"/>
      <c r="AY70" s="244" t="n"/>
      <c r="BE70" s="246" t="n"/>
      <c r="BF70" s="246" t="n"/>
      <c r="BG70" s="246" t="n"/>
      <c r="BH70" s="246" t="n"/>
      <c r="BI70" s="246" t="n"/>
      <c r="BJ70" s="246" t="n"/>
      <c r="BK70" s="246" t="n"/>
      <c r="BL70" s="246" t="n"/>
      <c r="BM70" s="246" t="n"/>
      <c r="BN70" s="246" t="n"/>
      <c r="BO70" s="246" t="n"/>
      <c r="BP70" s="246" t="n"/>
      <c r="BQ70" s="246" t="n"/>
      <c r="BR70" s="246" t="n"/>
      <c r="BS70" s="246" t="n"/>
      <c r="BT70" s="246" t="n"/>
      <c r="BU70" s="246" t="n"/>
      <c r="BV70" s="246" t="n"/>
      <c r="BW70" s="246" t="n"/>
      <c r="BX70" s="246" t="n"/>
      <c r="BY70" s="246" t="n"/>
      <c r="BZ70" s="246" t="n"/>
      <c r="CA70" s="246" t="n"/>
      <c r="CB70" s="246" t="n"/>
    </row>
    <row r="71" ht="10.5" customHeight="1">
      <c r="B71" s="1061" t="n"/>
      <c r="C71" s="1062" t="n"/>
      <c r="D71" s="1099" t="inlineStr">
        <is>
          <t>手付金</t>
        </is>
      </c>
      <c r="E71" s="1045" t="n"/>
      <c r="F71" s="1045" t="n"/>
      <c r="G71" s="1046" t="n"/>
      <c r="H71" s="1104" t="n"/>
      <c r="I71" s="1042" t="n"/>
      <c r="J71" s="1042" t="n"/>
      <c r="K71" s="1042" t="n"/>
      <c r="L71" s="1042" t="n"/>
      <c r="M71" s="1042" t="n"/>
      <c r="N71" s="1042" t="n"/>
      <c r="O71" s="1042" t="n"/>
      <c r="P71" s="1042" t="n"/>
      <c r="Q71" s="1042" t="n"/>
      <c r="R71" s="637" t="inlineStr">
        <is>
          <t>円</t>
        </is>
      </c>
      <c r="S71" s="1062" t="n"/>
      <c r="T71" s="1099" t="inlineStr">
        <is>
          <t>内金①</t>
        </is>
      </c>
      <c r="U71" s="1045" t="n"/>
      <c r="V71" s="1045" t="n"/>
      <c r="W71" s="1046" t="n"/>
      <c r="X71" s="1101" t="n"/>
      <c r="Y71" s="1042" t="n"/>
      <c r="Z71" s="1042" t="n"/>
      <c r="AA71" s="1042" t="n"/>
      <c r="AB71" s="1042" t="n"/>
      <c r="AC71" s="1042" t="n"/>
      <c r="AD71" s="1042" t="n"/>
      <c r="AE71" s="1042" t="n"/>
      <c r="AF71" s="1042" t="n"/>
      <c r="AG71" s="637" t="inlineStr">
        <is>
          <t>円</t>
        </is>
      </c>
      <c r="AH71" s="1062" t="n"/>
      <c r="AI71" s="1099" t="inlineStr">
        <is>
          <t>内金②</t>
        </is>
      </c>
      <c r="AJ71" s="1045" t="n"/>
      <c r="AK71" s="1045" t="n"/>
      <c r="AL71" s="1046" t="n"/>
      <c r="AM71" s="1101" t="n"/>
      <c r="AN71" s="1042" t="n"/>
      <c r="AO71" s="1042" t="n"/>
      <c r="AP71" s="1042" t="n"/>
      <c r="AQ71" s="1042" t="n"/>
      <c r="AR71" s="1042" t="n"/>
      <c r="AS71" s="1042" t="n"/>
      <c r="AT71" s="1042" t="n"/>
      <c r="AU71" s="1042" t="n"/>
      <c r="AV71" s="637" t="inlineStr">
        <is>
          <t>円</t>
        </is>
      </c>
      <c r="AW71" s="1062" t="n"/>
      <c r="AY71" s="244" t="n"/>
    </row>
    <row r="72" ht="10.5" customHeight="1">
      <c r="B72" s="1061" t="n"/>
      <c r="C72" s="1062" t="n"/>
      <c r="D72" s="1055" t="n"/>
      <c r="E72" s="1055" t="n"/>
      <c r="F72" s="1055" t="n"/>
      <c r="G72" s="1056" t="n"/>
      <c r="H72" s="1051" t="n"/>
      <c r="I72" s="1052" t="n"/>
      <c r="J72" s="1052" t="n"/>
      <c r="K72" s="1052" t="n"/>
      <c r="L72" s="1052" t="n"/>
      <c r="M72" s="1052" t="n"/>
      <c r="N72" s="1052" t="n"/>
      <c r="O72" s="1052" t="n"/>
      <c r="P72" s="1052" t="n"/>
      <c r="Q72" s="1052" t="n"/>
      <c r="R72" s="1055" t="n"/>
      <c r="S72" s="1056" t="n"/>
      <c r="T72" s="1055" t="n"/>
      <c r="U72" s="1055" t="n"/>
      <c r="V72" s="1055" t="n"/>
      <c r="W72" s="1056" t="n"/>
      <c r="X72" s="1052" t="n"/>
      <c r="Y72" s="1052" t="n"/>
      <c r="Z72" s="1052" t="n"/>
      <c r="AA72" s="1052" t="n"/>
      <c r="AB72" s="1052" t="n"/>
      <c r="AC72" s="1052" t="n"/>
      <c r="AD72" s="1052" t="n"/>
      <c r="AE72" s="1052" t="n"/>
      <c r="AF72" s="1052" t="n"/>
      <c r="AG72" s="1055" t="n"/>
      <c r="AH72" s="1056" t="n"/>
      <c r="AI72" s="1055" t="n"/>
      <c r="AJ72" s="1055" t="n"/>
      <c r="AK72" s="1055" t="n"/>
      <c r="AL72" s="1056" t="n"/>
      <c r="AM72" s="1052" t="n"/>
      <c r="AN72" s="1052" t="n"/>
      <c r="AO72" s="1052" t="n"/>
      <c r="AP72" s="1052" t="n"/>
      <c r="AQ72" s="1052" t="n"/>
      <c r="AR72" s="1052" t="n"/>
      <c r="AS72" s="1052" t="n"/>
      <c r="AT72" s="1052" t="n"/>
      <c r="AU72" s="1052" t="n"/>
      <c r="AV72" s="1055" t="n"/>
      <c r="AW72" s="1056" t="n"/>
      <c r="AY72" s="244" t="n"/>
    </row>
    <row r="73" ht="10.5" customHeight="1">
      <c r="B73" s="1061" t="n"/>
      <c r="C73" s="1062" t="n"/>
      <c r="D73" s="1099" t="inlineStr">
        <is>
          <t>交換差金</t>
        </is>
      </c>
      <c r="E73" s="1045" t="n"/>
      <c r="F73" s="1045" t="n"/>
      <c r="G73" s="1046" t="n"/>
      <c r="H73" s="1105" t="inlineStr">
        <is>
          <t>□</t>
        </is>
      </c>
      <c r="I73" s="1106" t="inlineStr">
        <is>
          <t>支払う</t>
        </is>
      </c>
      <c r="J73" s="1045" t="n"/>
      <c r="K73" s="1045" t="n"/>
      <c r="L73" s="1045" t="n"/>
      <c r="M73" s="1107" t="inlineStr">
        <is>
          <t>□</t>
        </is>
      </c>
      <c r="N73" s="1106" t="inlineStr">
        <is>
          <t>受領する</t>
        </is>
      </c>
      <c r="O73" s="1045" t="n"/>
      <c r="P73" s="1045" t="n"/>
      <c r="Q73" s="1045" t="n"/>
      <c r="R73" s="1045" t="n"/>
      <c r="S73" s="1108" t="inlineStr">
        <is>
          <t>（差金額）</t>
        </is>
      </c>
      <c r="T73" s="1045" t="n"/>
      <c r="U73" s="1045" t="n"/>
      <c r="V73" s="1109" t="n"/>
      <c r="W73" s="1042" t="n"/>
      <c r="X73" s="1042" t="n"/>
      <c r="Y73" s="1042" t="n"/>
      <c r="Z73" s="1042" t="n"/>
      <c r="AA73" s="1042" t="n"/>
      <c r="AB73" s="1042" t="n"/>
      <c r="AC73" s="1042" t="n"/>
      <c r="AD73" s="1042" t="n"/>
      <c r="AE73" s="1042" t="n"/>
      <c r="AF73" s="1110" t="inlineStr">
        <is>
          <t>円</t>
        </is>
      </c>
      <c r="AG73" s="1046" t="n"/>
      <c r="AH73" s="1111" t="inlineStr">
        <is>
          <t>（このうち消費税相当額）</t>
        </is>
      </c>
      <c r="AI73" s="1045" t="n"/>
      <c r="AJ73" s="1045" t="n"/>
      <c r="AK73" s="1045" t="n"/>
      <c r="AL73" s="1045" t="n"/>
      <c r="AM73" s="1045" t="n"/>
      <c r="AN73" s="1109" t="n"/>
      <c r="AO73" s="1042" t="n"/>
      <c r="AP73" s="1042" t="n"/>
      <c r="AQ73" s="1042" t="n"/>
      <c r="AR73" s="1042" t="n"/>
      <c r="AS73" s="1042" t="n"/>
      <c r="AT73" s="1042" t="n"/>
      <c r="AU73" s="1042" t="n"/>
      <c r="AV73" s="1110" t="inlineStr">
        <is>
          <t>円</t>
        </is>
      </c>
      <c r="AW73" s="1046" t="n"/>
      <c r="AY73" s="244" t="n"/>
      <c r="BE73" s="246" t="n"/>
      <c r="BF73" s="246" t="n"/>
      <c r="BG73" s="246" t="n"/>
      <c r="BH73" s="246" t="n"/>
      <c r="BI73" s="246" t="n"/>
      <c r="BJ73" s="246" t="n"/>
      <c r="BK73" s="246" t="n"/>
      <c r="BL73" s="246" t="n"/>
      <c r="BM73" s="246" t="n"/>
      <c r="BN73" s="246" t="n"/>
      <c r="BO73" s="246" t="n"/>
      <c r="BP73" s="246" t="n"/>
      <c r="BQ73" s="246" t="n"/>
      <c r="BR73" s="246" t="n"/>
      <c r="BS73" s="246" t="n"/>
      <c r="BT73" s="246" t="n"/>
      <c r="BU73" s="246" t="n"/>
      <c r="BV73" s="246" t="n"/>
      <c r="BW73" s="246" t="n"/>
      <c r="BX73" s="246" t="n"/>
      <c r="BY73" s="246" t="n"/>
      <c r="BZ73" s="246" t="n"/>
      <c r="CA73" s="246" t="n"/>
      <c r="CB73" s="246" t="n"/>
    </row>
    <row r="74" ht="10.5" customHeight="1">
      <c r="B74" s="1061" t="n"/>
      <c r="C74" s="1062" t="n"/>
      <c r="D74" s="1055" t="n"/>
      <c r="E74" s="1055" t="n"/>
      <c r="F74" s="1055" t="n"/>
      <c r="G74" s="1056" t="n"/>
      <c r="H74" s="1051" t="n"/>
      <c r="I74" s="1055" t="n"/>
      <c r="J74" s="1055" t="n"/>
      <c r="K74" s="1055" t="n"/>
      <c r="L74" s="1055" t="n"/>
      <c r="M74" s="1052" t="n"/>
      <c r="N74" s="1055" t="n"/>
      <c r="O74" s="1055" t="n"/>
      <c r="P74" s="1055" t="n"/>
      <c r="Q74" s="1055" t="n"/>
      <c r="R74" s="1055" t="n"/>
      <c r="S74" s="1054" t="n"/>
      <c r="T74" s="1055" t="n"/>
      <c r="U74" s="1055" t="n"/>
      <c r="V74" s="1052" t="n"/>
      <c r="W74" s="1052" t="n"/>
      <c r="X74" s="1052" t="n"/>
      <c r="Y74" s="1052" t="n"/>
      <c r="Z74" s="1052" t="n"/>
      <c r="AA74" s="1052" t="n"/>
      <c r="AB74" s="1052" t="n"/>
      <c r="AC74" s="1052" t="n"/>
      <c r="AD74" s="1052" t="n"/>
      <c r="AE74" s="1052" t="n"/>
      <c r="AF74" s="1055" t="n"/>
      <c r="AG74" s="1056" t="n"/>
      <c r="AH74" s="1055" t="n"/>
      <c r="AI74" s="1055" t="n"/>
      <c r="AJ74" s="1055" t="n"/>
      <c r="AK74" s="1055" t="n"/>
      <c r="AL74" s="1055" t="n"/>
      <c r="AM74" s="1055" t="n"/>
      <c r="AN74" s="1052" t="n"/>
      <c r="AO74" s="1052" t="n"/>
      <c r="AP74" s="1052" t="n"/>
      <c r="AQ74" s="1052" t="n"/>
      <c r="AR74" s="1052" t="n"/>
      <c r="AS74" s="1052" t="n"/>
      <c r="AT74" s="1052" t="n"/>
      <c r="AU74" s="1052" t="n"/>
      <c r="AV74" s="1055" t="n"/>
      <c r="AW74" s="1056" t="n"/>
      <c r="AY74" s="244" t="n"/>
      <c r="BE74" s="246" t="n"/>
      <c r="BF74" s="246" t="n"/>
      <c r="BG74" s="246" t="n"/>
      <c r="BH74" s="246" t="n"/>
      <c r="BI74" s="246" t="n"/>
      <c r="BJ74" s="246" t="n"/>
      <c r="BK74" s="246" t="n"/>
      <c r="BL74" s="246" t="n"/>
      <c r="BM74" s="246" t="n"/>
      <c r="BN74" s="246" t="n"/>
      <c r="BO74" s="246" t="n"/>
      <c r="BP74" s="246" t="n"/>
      <c r="BQ74" s="246" t="n"/>
      <c r="BR74" s="246" t="n"/>
      <c r="BS74" s="246" t="n"/>
      <c r="BT74" s="246" t="n"/>
      <c r="BU74" s="246" t="n"/>
      <c r="BV74" s="246" t="n"/>
      <c r="BW74" s="246" t="n"/>
      <c r="BX74" s="246" t="n"/>
      <c r="BY74" s="246" t="n"/>
      <c r="BZ74" s="246" t="n"/>
      <c r="CA74" s="246" t="n"/>
      <c r="CB74" s="246" t="n"/>
    </row>
    <row r="75" ht="10.5" customHeight="1">
      <c r="B75" s="1061" t="n"/>
      <c r="C75" s="1062" t="n"/>
      <c r="D75" s="1099" t="inlineStr">
        <is>
          <t>交換物件の内容</t>
        </is>
      </c>
      <c r="E75" s="1045" t="n"/>
      <c r="F75" s="1045" t="n"/>
      <c r="G75" s="1045" t="n"/>
      <c r="H75" s="1045" t="n"/>
      <c r="I75" s="1045" t="n"/>
      <c r="J75" s="1045" t="n"/>
      <c r="K75" s="1046" t="n"/>
      <c r="L75" s="560" t="n"/>
      <c r="M75" s="1042" t="n"/>
      <c r="N75" s="1042" t="n"/>
      <c r="O75" s="1042" t="n"/>
      <c r="P75" s="1042" t="n"/>
      <c r="Q75" s="1042" t="n"/>
      <c r="R75" s="1042" t="n"/>
      <c r="S75" s="1042" t="n"/>
      <c r="T75" s="1042" t="n"/>
      <c r="U75" s="1042" t="n"/>
      <c r="V75" s="1042" t="n"/>
      <c r="W75" s="1042" t="n"/>
      <c r="X75" s="1042" t="n"/>
      <c r="Y75" s="1042" t="n"/>
      <c r="Z75" s="1042" t="n"/>
      <c r="AA75" s="1042" t="n"/>
      <c r="AB75" s="1042" t="n"/>
      <c r="AC75" s="1042" t="n"/>
      <c r="AD75" s="1042" t="n"/>
      <c r="AE75" s="1042" t="n"/>
      <c r="AF75" s="1042" t="n"/>
      <c r="AG75" s="1042" t="n"/>
      <c r="AH75" s="1042" t="n"/>
      <c r="AI75" s="1042" t="n"/>
      <c r="AJ75" s="1042" t="n"/>
      <c r="AK75" s="1042" t="n"/>
      <c r="AL75" s="1042" t="n"/>
      <c r="AM75" s="1042" t="n"/>
      <c r="AN75" s="1042" t="n"/>
      <c r="AO75" s="1042" t="n"/>
      <c r="AP75" s="1042" t="n"/>
      <c r="AQ75" s="1042" t="n"/>
      <c r="AR75" s="1042" t="n"/>
      <c r="AS75" s="1042" t="n"/>
      <c r="AT75" s="1042" t="n"/>
      <c r="AU75" s="1042" t="n"/>
      <c r="AV75" s="1042" t="n"/>
      <c r="AW75" s="1043" t="n"/>
      <c r="AY75" s="244" t="n"/>
      <c r="BB75" s="275" t="n"/>
      <c r="BC75" s="276" t="n"/>
      <c r="BD75" s="276" t="n"/>
      <c r="BE75" s="277" t="n"/>
      <c r="BF75" s="277" t="n"/>
      <c r="BG75" s="246" t="n"/>
      <c r="BH75" s="246" t="n"/>
      <c r="BI75" s="246" t="n"/>
      <c r="BJ75" s="246" t="n"/>
      <c r="BK75" s="246" t="n"/>
      <c r="BL75" s="246" t="n"/>
      <c r="BM75" s="246" t="n"/>
      <c r="BN75" s="246" t="n"/>
      <c r="BO75" s="246" t="n"/>
      <c r="BP75" s="246" t="n"/>
      <c r="BQ75" s="246" t="n"/>
      <c r="BR75" s="246" t="n"/>
      <c r="BS75" s="246" t="n"/>
      <c r="BT75" s="246" t="n"/>
      <c r="BU75" s="246" t="n"/>
      <c r="BV75" s="246" t="n"/>
      <c r="BW75" s="246" t="n"/>
    </row>
    <row r="76" ht="10.5" customHeight="1">
      <c r="B76" s="1054" t="n"/>
      <c r="C76" s="1056" t="n"/>
      <c r="D76" s="1055" t="n"/>
      <c r="E76" s="1055" t="n"/>
      <c r="F76" s="1055" t="n"/>
      <c r="G76" s="1055" t="n"/>
      <c r="H76" s="1055" t="n"/>
      <c r="I76" s="1055" t="n"/>
      <c r="J76" s="1055" t="n"/>
      <c r="K76" s="1056" t="n"/>
      <c r="L76" s="1051" t="n"/>
      <c r="M76" s="1052" t="n"/>
      <c r="N76" s="1052" t="n"/>
      <c r="O76" s="1052" t="n"/>
      <c r="P76" s="1052" t="n"/>
      <c r="Q76" s="1052" t="n"/>
      <c r="R76" s="1052" t="n"/>
      <c r="S76" s="1052" t="n"/>
      <c r="T76" s="1052" t="n"/>
      <c r="U76" s="1052" t="n"/>
      <c r="V76" s="1052" t="n"/>
      <c r="W76" s="1052" t="n"/>
      <c r="X76" s="1052" t="n"/>
      <c r="Y76" s="1052" t="n"/>
      <c r="Z76" s="1052" t="n"/>
      <c r="AA76" s="1052" t="n"/>
      <c r="AB76" s="1052" t="n"/>
      <c r="AC76" s="1052" t="n"/>
      <c r="AD76" s="1052" t="n"/>
      <c r="AE76" s="1052" t="n"/>
      <c r="AF76" s="1052" t="n"/>
      <c r="AG76" s="1052" t="n"/>
      <c r="AH76" s="1052" t="n"/>
      <c r="AI76" s="1052" t="n"/>
      <c r="AJ76" s="1052" t="n"/>
      <c r="AK76" s="1052" t="n"/>
      <c r="AL76" s="1052" t="n"/>
      <c r="AM76" s="1052" t="n"/>
      <c r="AN76" s="1052" t="n"/>
      <c r="AO76" s="1052" t="n"/>
      <c r="AP76" s="1052" t="n"/>
      <c r="AQ76" s="1052" t="n"/>
      <c r="AR76" s="1052" t="n"/>
      <c r="AS76" s="1052" t="n"/>
      <c r="AT76" s="1052" t="n"/>
      <c r="AU76" s="1052" t="n"/>
      <c r="AV76" s="1052" t="n"/>
      <c r="AW76" s="1053" t="n"/>
      <c r="AY76" s="244" t="n"/>
    </row>
    <row r="77" ht="10.5" customHeight="1">
      <c r="B77" s="278" t="n"/>
      <c r="C77" s="278" t="n"/>
      <c r="D77" s="652" t="n"/>
      <c r="E77" s="652" t="n"/>
      <c r="F77" s="652" t="n"/>
      <c r="G77" s="652" t="n"/>
      <c r="H77" s="279" t="n"/>
      <c r="I77" s="279" t="n"/>
      <c r="J77" s="279" t="n"/>
      <c r="K77" s="279" t="n"/>
      <c r="L77" s="279" t="n"/>
      <c r="M77" s="279" t="n"/>
      <c r="N77" s="279" t="n"/>
      <c r="O77" s="279" t="n"/>
      <c r="P77" s="279" t="n"/>
      <c r="Q77" s="279" t="n"/>
      <c r="R77" s="279" t="n"/>
      <c r="S77" s="279" t="n"/>
      <c r="T77" s="279" t="n"/>
      <c r="U77" s="279" t="n"/>
      <c r="V77" s="279" t="n"/>
      <c r="W77" s="279" t="n"/>
      <c r="X77" s="279" t="n"/>
      <c r="Y77" s="279" t="n"/>
      <c r="Z77" s="279" t="n"/>
      <c r="AA77" s="279" t="n"/>
      <c r="AB77" s="279" t="n"/>
      <c r="AC77" s="279" t="n"/>
      <c r="AD77" s="279" t="n"/>
      <c r="AE77" s="279" t="n"/>
      <c r="AF77" s="279" t="n"/>
      <c r="AG77" s="279" t="n"/>
      <c r="AH77" s="279" t="n"/>
      <c r="AI77" s="279" t="n"/>
      <c r="AJ77" s="279" t="n"/>
      <c r="AK77" s="279" t="n"/>
      <c r="AL77" s="279" t="n"/>
      <c r="AM77" s="279" t="n"/>
      <c r="AN77" s="279" t="n"/>
      <c r="AO77" s="279" t="n"/>
      <c r="AP77" s="279" t="n"/>
      <c r="AQ77" s="279" t="n"/>
      <c r="AR77" s="279" t="n"/>
      <c r="AS77" s="279" t="n"/>
      <c r="AT77" s="279" t="n"/>
      <c r="AU77" s="279" t="n"/>
      <c r="AV77" s="279" t="n"/>
      <c r="AW77" s="279" t="n"/>
      <c r="AY77" s="244" t="n"/>
    </row>
    <row r="78" ht="10.5" customHeight="1">
      <c r="A78" s="246" t="n"/>
      <c r="B78" s="1112" t="inlineStr">
        <is>
          <t>取引報酬額</t>
        </is>
      </c>
      <c r="C78" s="1046" t="n"/>
      <c r="D78" s="1113" t="inlineStr">
        <is>
          <t>仲介
手数料</t>
        </is>
      </c>
      <c r="E78" s="1045" t="n"/>
      <c r="F78" s="1045" t="n"/>
      <c r="G78" s="1045" t="n"/>
      <c r="H78" s="561" t="inlineStr">
        <is>
          <t>日  付</t>
        </is>
      </c>
      <c r="I78" s="1045" t="n"/>
      <c r="J78" s="1045" t="n"/>
      <c r="K78" s="1046" t="n"/>
      <c r="L78" s="1057" t="n"/>
      <c r="M78" s="1042" t="n"/>
      <c r="N78" s="1042" t="n"/>
      <c r="O78" s="1042" t="n"/>
      <c r="P78" s="1042" t="n"/>
      <c r="Q78" s="1042" t="n"/>
      <c r="R78" s="1042" t="n"/>
      <c r="S78" s="1043" t="n"/>
      <c r="T78" s="561" t="inlineStr">
        <is>
          <t>売主より</t>
        </is>
      </c>
      <c r="U78" s="1045" t="n"/>
      <c r="V78" s="1045" t="n"/>
      <c r="W78" s="1046" t="n"/>
      <c r="X78" s="560" t="n"/>
      <c r="Y78" s="1042" t="n"/>
      <c r="Z78" s="1042" t="n"/>
      <c r="AA78" s="1042" t="n"/>
      <c r="AB78" s="1042" t="n"/>
      <c r="AC78" s="1042" t="n"/>
      <c r="AD78" s="1042" t="n"/>
      <c r="AE78" s="1042" t="n"/>
      <c r="AF78" s="1042" t="n"/>
      <c r="AG78" s="1042" t="n"/>
      <c r="AH78" s="1042" t="n"/>
      <c r="AI78" s="1042" t="n"/>
      <c r="AJ78" s="1042" t="n"/>
      <c r="AK78" s="1042" t="n"/>
      <c r="AL78" s="1042" t="n"/>
      <c r="AM78" s="1042" t="n"/>
      <c r="AN78" s="1042" t="n"/>
      <c r="AO78" s="1042" t="n"/>
      <c r="AP78" s="1042" t="n"/>
      <c r="AQ78" s="1042" t="n"/>
      <c r="AR78" s="1042" t="n"/>
      <c r="AS78" s="1042" t="n"/>
      <c r="AT78" s="1042" t="n"/>
      <c r="AU78" s="1042" t="n"/>
      <c r="AV78" s="1042" t="n"/>
      <c r="AW78" s="1043" t="n"/>
      <c r="AY78" s="244" t="n"/>
      <c r="BR78" s="246" t="n"/>
      <c r="BS78" s="246" t="n"/>
      <c r="BT78" s="246" t="n"/>
      <c r="BU78" s="246" t="n"/>
      <c r="BV78" s="246" t="n"/>
      <c r="BW78" s="246" t="n"/>
      <c r="BX78" s="246" t="n"/>
      <c r="BY78" s="246" t="n"/>
      <c r="BZ78" s="246" t="n"/>
      <c r="CA78" s="246" t="n"/>
      <c r="CB78" s="246" t="n"/>
      <c r="CC78" s="246" t="n"/>
      <c r="CD78" s="246" t="n"/>
      <c r="CE78" s="246" t="n"/>
      <c r="CF78" s="246" t="n"/>
      <c r="CG78" s="246" t="n"/>
      <c r="CH78" s="246" t="n"/>
      <c r="CI78" s="246" t="n"/>
      <c r="CJ78" s="246" t="n"/>
      <c r="CK78" s="246" t="n"/>
      <c r="CL78" s="246" t="n"/>
      <c r="CM78" s="246" t="n"/>
      <c r="CN78" s="246" t="n"/>
      <c r="CO78" s="246" t="n"/>
      <c r="CP78" s="246" t="n"/>
      <c r="CQ78" s="246" t="n"/>
      <c r="CR78" s="246" t="n"/>
      <c r="CS78" s="246" t="n"/>
    </row>
    <row r="79" ht="10.5" customHeight="1">
      <c r="B79" s="1061" t="n"/>
      <c r="C79" s="1062" t="n"/>
      <c r="H79" s="1054" t="n"/>
      <c r="I79" s="1055" t="n"/>
      <c r="J79" s="1055" t="n"/>
      <c r="K79" s="1056" t="n"/>
      <c r="L79" s="1051" t="n"/>
      <c r="M79" s="1052" t="n"/>
      <c r="N79" s="1052" t="n"/>
      <c r="O79" s="1052" t="n"/>
      <c r="P79" s="1052" t="n"/>
      <c r="Q79" s="1052" t="n"/>
      <c r="R79" s="1052" t="n"/>
      <c r="S79" s="1053" t="n"/>
      <c r="T79" s="1054" t="n"/>
      <c r="U79" s="1055" t="n"/>
      <c r="V79" s="1055" t="n"/>
      <c r="W79" s="1056" t="n"/>
      <c r="X79" s="1051" t="n"/>
      <c r="Y79" s="1052" t="n"/>
      <c r="Z79" s="1052" t="n"/>
      <c r="AA79" s="1052" t="n"/>
      <c r="AB79" s="1052" t="n"/>
      <c r="AC79" s="1052" t="n"/>
      <c r="AD79" s="1052" t="n"/>
      <c r="AE79" s="1052" t="n"/>
      <c r="AF79" s="1052" t="n"/>
      <c r="AG79" s="1052" t="n"/>
      <c r="AH79" s="1052" t="n"/>
      <c r="AI79" s="1052" t="n"/>
      <c r="AJ79" s="1052" t="n"/>
      <c r="AK79" s="1052" t="n"/>
      <c r="AL79" s="1052" t="n"/>
      <c r="AM79" s="1052" t="n"/>
      <c r="AN79" s="1052" t="n"/>
      <c r="AO79" s="1052" t="n"/>
      <c r="AP79" s="1052" t="n"/>
      <c r="AQ79" s="1052" t="n"/>
      <c r="AR79" s="1052" t="n"/>
      <c r="AS79" s="1052" t="n"/>
      <c r="AT79" s="1052" t="n"/>
      <c r="AU79" s="1052" t="n"/>
      <c r="AV79" s="1052" t="n"/>
      <c r="AW79" s="1053" t="n"/>
      <c r="AY79" s="244" t="n"/>
      <c r="BR79" s="246" t="n"/>
      <c r="BS79" s="246" t="n"/>
      <c r="BT79" s="246" t="n"/>
      <c r="BU79" s="246" t="n"/>
      <c r="BV79" s="246" t="n"/>
      <c r="BW79" s="246" t="n"/>
      <c r="BX79" s="246" t="n"/>
      <c r="BY79" s="246" t="n"/>
      <c r="BZ79" s="246" t="n"/>
      <c r="CA79" s="246" t="n"/>
      <c r="CB79" s="246" t="n"/>
      <c r="CC79" s="246" t="n"/>
      <c r="CD79" s="246" t="n"/>
      <c r="CE79" s="246" t="n"/>
      <c r="CF79" s="246" t="n"/>
      <c r="CG79" s="246" t="n"/>
      <c r="CH79" s="246" t="n"/>
      <c r="CI79" s="246" t="n"/>
      <c r="CJ79" s="246" t="n"/>
      <c r="CK79" s="246" t="n"/>
      <c r="CL79" s="246" t="n"/>
      <c r="CM79" s="246" t="n"/>
      <c r="CN79" s="246" t="n"/>
      <c r="CO79" s="246" t="n"/>
      <c r="CP79" s="246" t="n"/>
      <c r="CQ79" s="246" t="n"/>
      <c r="CR79" s="246" t="n"/>
      <c r="CS79" s="246" t="n"/>
    </row>
    <row r="80" ht="10.5" customHeight="1">
      <c r="B80" s="1061" t="n"/>
      <c r="C80" s="1062" t="n"/>
      <c r="H80" s="561" t="inlineStr">
        <is>
          <t>金  額</t>
        </is>
      </c>
      <c r="I80" s="1045" t="n"/>
      <c r="J80" s="1045" t="n"/>
      <c r="K80" s="1046" t="n"/>
      <c r="L80" s="1114" t="n"/>
      <c r="M80" s="1042" t="n"/>
      <c r="N80" s="1042" t="n"/>
      <c r="O80" s="1042" t="n"/>
      <c r="P80" s="1042" t="n"/>
      <c r="Q80" s="1042" t="n"/>
      <c r="R80" s="580" t="inlineStr">
        <is>
          <t>円</t>
        </is>
      </c>
      <c r="S80" s="1040" t="n"/>
      <c r="T80" s="1115" t="inlineStr">
        <is>
          <t>(税率)</t>
        </is>
      </c>
      <c r="U80" s="1045" t="n"/>
      <c r="V80" s="1045" t="n"/>
      <c r="W80" s="1116" t="n"/>
      <c r="X80" s="1042" t="n"/>
      <c r="Y80" s="1117" t="inlineStr">
        <is>
          <t>％</t>
        </is>
      </c>
      <c r="Z80" s="1046" t="n"/>
      <c r="AA80" s="561" t="inlineStr">
        <is>
          <t>消費税</t>
        </is>
      </c>
      <c r="AB80" s="1045" t="n"/>
      <c r="AC80" s="1045" t="n"/>
      <c r="AD80" s="1046" t="n"/>
      <c r="AE80" s="1114">
        <f>L80*W80*0.01</f>
        <v/>
      </c>
      <c r="AF80" s="1042" t="n"/>
      <c r="AG80" s="1042" t="n"/>
      <c r="AH80" s="1042" t="n"/>
      <c r="AI80" s="1042" t="n"/>
      <c r="AJ80" s="580" t="inlineStr">
        <is>
          <t>円</t>
        </is>
      </c>
      <c r="AK80" s="1040" t="n"/>
      <c r="AL80" s="561" t="inlineStr">
        <is>
          <t>合  計</t>
        </is>
      </c>
      <c r="AM80" s="1045" t="n"/>
      <c r="AN80" s="1045" t="n"/>
      <c r="AO80" s="1046" t="n"/>
      <c r="AP80" s="1114">
        <f>L80+AE80</f>
        <v/>
      </c>
      <c r="AQ80" s="1042" t="n"/>
      <c r="AR80" s="1042" t="n"/>
      <c r="AS80" s="1042" t="n"/>
      <c r="AT80" s="1042" t="n"/>
      <c r="AU80" s="1042" t="n"/>
      <c r="AV80" s="580" t="inlineStr">
        <is>
          <t>円</t>
        </is>
      </c>
      <c r="AW80" s="1040" t="n"/>
      <c r="AY80" s="244" t="n"/>
      <c r="BR80" s="246" t="n"/>
      <c r="BS80" s="246" t="n"/>
      <c r="BT80" s="246" t="n"/>
      <c r="BU80" s="246" t="n"/>
      <c r="BV80" s="246" t="n"/>
      <c r="BW80" s="246" t="n"/>
      <c r="BX80" s="246" t="n"/>
      <c r="BY80" s="246" t="n"/>
      <c r="BZ80" s="246" t="n"/>
      <c r="CA80" s="246" t="n"/>
      <c r="CB80" s="246" t="n"/>
      <c r="CC80" s="246" t="n"/>
      <c r="CD80" s="246" t="n"/>
      <c r="CE80" s="246" t="n"/>
      <c r="CF80" s="246" t="n"/>
      <c r="CG80" s="246" t="n"/>
      <c r="CH80" s="246" t="n"/>
      <c r="CI80" s="246" t="n"/>
      <c r="CJ80" s="246" t="n"/>
      <c r="CK80" s="246" t="n"/>
      <c r="CL80" s="246" t="n"/>
      <c r="CM80" s="246" t="n"/>
      <c r="CN80" s="246" t="n"/>
      <c r="CO80" s="246" t="n"/>
      <c r="CP80" s="246" t="n"/>
      <c r="CQ80" s="246" t="n"/>
      <c r="CR80" s="246" t="n"/>
      <c r="CS80" s="246" t="n"/>
    </row>
    <row r="81" ht="10.5" customHeight="1">
      <c r="B81" s="1061" t="n"/>
      <c r="C81" s="1062" t="n"/>
      <c r="H81" s="1054" t="n"/>
      <c r="I81" s="1055" t="n"/>
      <c r="J81" s="1055" t="n"/>
      <c r="K81" s="1056" t="n"/>
      <c r="L81" s="1051" t="n"/>
      <c r="M81" s="1052" t="n"/>
      <c r="N81" s="1052" t="n"/>
      <c r="O81" s="1052" t="n"/>
      <c r="P81" s="1052" t="n"/>
      <c r="Q81" s="1052" t="n"/>
      <c r="R81" s="1049" t="n"/>
      <c r="S81" s="1050" t="n"/>
      <c r="T81" s="1054" t="n"/>
      <c r="U81" s="1055" t="n"/>
      <c r="V81" s="1055" t="n"/>
      <c r="W81" s="1052" t="n"/>
      <c r="X81" s="1052" t="n"/>
      <c r="Y81" s="1055" t="n"/>
      <c r="Z81" s="1056" t="n"/>
      <c r="AA81" s="1054" t="n"/>
      <c r="AB81" s="1055" t="n"/>
      <c r="AC81" s="1055" t="n"/>
      <c r="AD81" s="1056" t="n"/>
      <c r="AE81" s="1051" t="n"/>
      <c r="AF81" s="1052" t="n"/>
      <c r="AG81" s="1052" t="n"/>
      <c r="AH81" s="1052" t="n"/>
      <c r="AI81" s="1052" t="n"/>
      <c r="AJ81" s="1049" t="n"/>
      <c r="AK81" s="1050" t="n"/>
      <c r="AL81" s="1054" t="n"/>
      <c r="AM81" s="1055" t="n"/>
      <c r="AN81" s="1055" t="n"/>
      <c r="AO81" s="1056" t="n"/>
      <c r="AP81" s="1051" t="n"/>
      <c r="AQ81" s="1052" t="n"/>
      <c r="AR81" s="1052" t="n"/>
      <c r="AS81" s="1052" t="n"/>
      <c r="AT81" s="1052" t="n"/>
      <c r="AU81" s="1052" t="n"/>
      <c r="AV81" s="1049" t="n"/>
      <c r="AW81" s="1050" t="n"/>
      <c r="AY81" s="244" t="n"/>
      <c r="BR81" s="246" t="n"/>
      <c r="BS81" s="246" t="n"/>
      <c r="BT81" s="246" t="n"/>
      <c r="BU81" s="246" t="n"/>
      <c r="BV81" s="246" t="n"/>
      <c r="BW81" s="246" t="n"/>
      <c r="BX81" s="246" t="n"/>
      <c r="BY81" s="246" t="n"/>
      <c r="BZ81" s="246" t="n"/>
      <c r="CA81" s="246" t="n"/>
      <c r="CB81" s="246" t="n"/>
      <c r="CC81" s="246" t="n"/>
      <c r="CD81" s="246" t="n"/>
      <c r="CE81" s="246" t="n"/>
      <c r="CF81" s="246" t="n"/>
      <c r="CG81" s="246" t="n"/>
      <c r="CH81" s="246" t="n"/>
      <c r="CI81" s="246" t="n"/>
      <c r="CJ81" s="246" t="n"/>
      <c r="CK81" s="246" t="n"/>
      <c r="CL81" s="246" t="n"/>
      <c r="CM81" s="246" t="n"/>
      <c r="CN81" s="246" t="n"/>
      <c r="CO81" s="246" t="n"/>
      <c r="CP81" s="246" t="n"/>
      <c r="CQ81" s="246" t="n"/>
      <c r="CR81" s="246" t="n"/>
      <c r="CS81" s="246" t="n"/>
    </row>
    <row r="82" ht="10.5" customHeight="1">
      <c r="B82" s="1061" t="n"/>
      <c r="C82" s="1062" t="n"/>
      <c r="H82" s="561" t="inlineStr">
        <is>
          <t>日  付</t>
        </is>
      </c>
      <c r="I82" s="1045" t="n"/>
      <c r="J82" s="1045" t="n"/>
      <c r="K82" s="1046" t="n"/>
      <c r="L82" s="1057" t="n"/>
      <c r="M82" s="1042" t="n"/>
      <c r="N82" s="1042" t="n"/>
      <c r="O82" s="1042" t="n"/>
      <c r="P82" s="1042" t="n"/>
      <c r="Q82" s="1042" t="n"/>
      <c r="R82" s="1042" t="n"/>
      <c r="S82" s="1043" t="n"/>
      <c r="T82" s="561" t="inlineStr">
        <is>
          <t>買主より</t>
        </is>
      </c>
      <c r="U82" s="1045" t="n"/>
      <c r="V82" s="1045" t="n"/>
      <c r="W82" s="1046" t="n"/>
      <c r="X82" s="560" t="n"/>
      <c r="Y82" s="1042" t="n"/>
      <c r="Z82" s="1042" t="n"/>
      <c r="AA82" s="1042" t="n"/>
      <c r="AB82" s="1042" t="n"/>
      <c r="AC82" s="1042" t="n"/>
      <c r="AD82" s="1042" t="n"/>
      <c r="AE82" s="1042" t="n"/>
      <c r="AF82" s="1042" t="n"/>
      <c r="AG82" s="1042" t="n"/>
      <c r="AH82" s="1042" t="n"/>
      <c r="AI82" s="1042" t="n"/>
      <c r="AJ82" s="1042" t="n"/>
      <c r="AK82" s="1042" t="n"/>
      <c r="AL82" s="1042" t="n"/>
      <c r="AM82" s="1042" t="n"/>
      <c r="AN82" s="1042" t="n"/>
      <c r="AO82" s="1042" t="n"/>
      <c r="AP82" s="1042" t="n"/>
      <c r="AQ82" s="1042" t="n"/>
      <c r="AR82" s="1042" t="n"/>
      <c r="AS82" s="1042" t="n"/>
      <c r="AT82" s="1042" t="n"/>
      <c r="AU82" s="1042" t="n"/>
      <c r="AV82" s="1042" t="n"/>
      <c r="AW82" s="1043" t="n"/>
      <c r="AY82" s="244" t="n"/>
      <c r="BR82" s="246" t="n"/>
      <c r="BS82" s="246" t="n"/>
      <c r="BT82" s="246" t="n"/>
      <c r="BU82" s="246" t="n"/>
      <c r="BV82" s="246" t="n"/>
      <c r="BW82" s="246" t="n"/>
      <c r="BX82" s="246" t="n"/>
      <c r="BY82" s="246" t="n"/>
      <c r="BZ82" s="246" t="n"/>
      <c r="CA82" s="246" t="n"/>
      <c r="CB82" s="246" t="n"/>
      <c r="CC82" s="246" t="n"/>
      <c r="CD82" s="246" t="n"/>
      <c r="CE82" s="246" t="n"/>
      <c r="CF82" s="246" t="n"/>
      <c r="CG82" s="246" t="n"/>
      <c r="CH82" s="246" t="n"/>
      <c r="CI82" s="246" t="n"/>
      <c r="CJ82" s="246" t="n"/>
      <c r="CK82" s="246" t="n"/>
      <c r="CL82" s="246" t="n"/>
      <c r="CM82" s="246" t="n"/>
      <c r="CN82" s="246" t="n"/>
      <c r="CO82" s="246" t="n"/>
      <c r="CP82" s="246" t="n"/>
      <c r="CQ82" s="246" t="n"/>
      <c r="CR82" s="246" t="n"/>
      <c r="CS82" s="246" t="n"/>
      <c r="CT82" s="246" t="n"/>
    </row>
    <row r="83" ht="10.5" customHeight="1">
      <c r="B83" s="1061" t="n"/>
      <c r="C83" s="1062" t="n"/>
      <c r="H83" s="1054" t="n"/>
      <c r="I83" s="1055" t="n"/>
      <c r="J83" s="1055" t="n"/>
      <c r="K83" s="1056" t="n"/>
      <c r="L83" s="1051" t="n"/>
      <c r="M83" s="1052" t="n"/>
      <c r="N83" s="1052" t="n"/>
      <c r="O83" s="1052" t="n"/>
      <c r="P83" s="1052" t="n"/>
      <c r="Q83" s="1052" t="n"/>
      <c r="R83" s="1052" t="n"/>
      <c r="S83" s="1053" t="n"/>
      <c r="T83" s="1054" t="n"/>
      <c r="U83" s="1055" t="n"/>
      <c r="V83" s="1055" t="n"/>
      <c r="W83" s="1056" t="n"/>
      <c r="X83" s="1051" t="n"/>
      <c r="Y83" s="1052" t="n"/>
      <c r="Z83" s="1052" t="n"/>
      <c r="AA83" s="1052" t="n"/>
      <c r="AB83" s="1052" t="n"/>
      <c r="AC83" s="1052" t="n"/>
      <c r="AD83" s="1052" t="n"/>
      <c r="AE83" s="1052" t="n"/>
      <c r="AF83" s="1052" t="n"/>
      <c r="AG83" s="1052" t="n"/>
      <c r="AH83" s="1052" t="n"/>
      <c r="AI83" s="1052" t="n"/>
      <c r="AJ83" s="1052" t="n"/>
      <c r="AK83" s="1052" t="n"/>
      <c r="AL83" s="1052" t="n"/>
      <c r="AM83" s="1052" t="n"/>
      <c r="AN83" s="1052" t="n"/>
      <c r="AO83" s="1052" t="n"/>
      <c r="AP83" s="1052" t="n"/>
      <c r="AQ83" s="1052" t="n"/>
      <c r="AR83" s="1052" t="n"/>
      <c r="AS83" s="1052" t="n"/>
      <c r="AT83" s="1052" t="n"/>
      <c r="AU83" s="1052" t="n"/>
      <c r="AV83" s="1052" t="n"/>
      <c r="AW83" s="1053" t="n"/>
      <c r="AY83" s="244" t="n"/>
      <c r="BR83" s="246" t="n"/>
      <c r="BS83" s="246" t="n"/>
      <c r="BT83" s="246" t="n"/>
      <c r="BU83" s="246" t="n"/>
      <c r="BV83" s="246" t="n"/>
      <c r="BW83" s="246" t="n"/>
      <c r="BX83" s="246" t="n"/>
      <c r="BY83" s="246" t="n"/>
      <c r="BZ83" s="246" t="n"/>
      <c r="CA83" s="246" t="n"/>
      <c r="CB83" s="246" t="n"/>
      <c r="CC83" s="246" t="n"/>
      <c r="CD83" s="246" t="n"/>
      <c r="CE83" s="246" t="n"/>
      <c r="CF83" s="246" t="n"/>
      <c r="CG83" s="246" t="n"/>
      <c r="CH83" s="246" t="n"/>
      <c r="CI83" s="246" t="n"/>
      <c r="CJ83" s="246" t="n"/>
      <c r="CK83" s="246" t="n"/>
      <c r="CL83" s="246" t="n"/>
      <c r="CM83" s="246" t="n"/>
      <c r="CN83" s="246" t="n"/>
      <c r="CO83" s="246" t="n"/>
      <c r="CP83" s="246" t="n"/>
      <c r="CQ83" s="246" t="n"/>
      <c r="CR83" s="246" t="n"/>
      <c r="CS83" s="246" t="n"/>
      <c r="CT83" s="246" t="n"/>
    </row>
    <row r="84" ht="10.5" customHeight="1">
      <c r="B84" s="1061" t="n"/>
      <c r="C84" s="1062" t="n"/>
      <c r="H84" s="561" t="inlineStr">
        <is>
          <t>金  額</t>
        </is>
      </c>
      <c r="I84" s="1045" t="n"/>
      <c r="J84" s="1045" t="n"/>
      <c r="K84" s="1046" t="n"/>
      <c r="L84" s="1114" t="n"/>
      <c r="M84" s="1042" t="n"/>
      <c r="N84" s="1042" t="n"/>
      <c r="O84" s="1042" t="n"/>
      <c r="P84" s="1042" t="n"/>
      <c r="Q84" s="1042" t="n"/>
      <c r="R84" s="580" t="inlineStr">
        <is>
          <t>円</t>
        </is>
      </c>
      <c r="S84" s="1040" t="n"/>
      <c r="T84" s="1115" t="inlineStr">
        <is>
          <t>(税率)</t>
        </is>
      </c>
      <c r="U84" s="1045" t="n"/>
      <c r="V84" s="1045" t="n"/>
      <c r="W84" s="1116" t="n"/>
      <c r="X84" s="1042" t="n"/>
      <c r="Y84" s="1117" t="inlineStr">
        <is>
          <t>％</t>
        </is>
      </c>
      <c r="Z84" s="1046" t="n"/>
      <c r="AA84" s="561" t="inlineStr">
        <is>
          <t>消費税</t>
        </is>
      </c>
      <c r="AB84" s="1045" t="n"/>
      <c r="AC84" s="1045" t="n"/>
      <c r="AD84" s="1046" t="n"/>
      <c r="AE84" s="1114">
        <f>L84*W84*0.01</f>
        <v/>
      </c>
      <c r="AF84" s="1042" t="n"/>
      <c r="AG84" s="1042" t="n"/>
      <c r="AH84" s="1042" t="n"/>
      <c r="AI84" s="1042" t="n"/>
      <c r="AJ84" s="580" t="inlineStr">
        <is>
          <t>円</t>
        </is>
      </c>
      <c r="AK84" s="1040" t="n"/>
      <c r="AL84" s="561" t="inlineStr">
        <is>
          <t>合  計</t>
        </is>
      </c>
      <c r="AM84" s="1045" t="n"/>
      <c r="AN84" s="1045" t="n"/>
      <c r="AO84" s="1046" t="n"/>
      <c r="AP84" s="1114">
        <f>L84+AE84</f>
        <v/>
      </c>
      <c r="AQ84" s="1042" t="n"/>
      <c r="AR84" s="1042" t="n"/>
      <c r="AS84" s="1042" t="n"/>
      <c r="AT84" s="1042" t="n"/>
      <c r="AU84" s="1042" t="n"/>
      <c r="AV84" s="580" t="inlineStr">
        <is>
          <t>円</t>
        </is>
      </c>
      <c r="AW84" s="1040" t="n"/>
      <c r="AY84" s="244" t="n"/>
      <c r="BR84" s="246" t="n"/>
      <c r="BS84" s="246" t="n"/>
      <c r="BT84" s="246" t="n"/>
      <c r="BU84" s="246" t="n"/>
      <c r="BV84" s="246" t="n"/>
      <c r="BW84" s="246" t="n"/>
      <c r="BX84" s="246" t="n"/>
      <c r="BY84" s="246" t="n"/>
      <c r="BZ84" s="246" t="n"/>
      <c r="CA84" s="246" t="n"/>
      <c r="CB84" s="246" t="n"/>
      <c r="CC84" s="246" t="n"/>
      <c r="CD84" s="246" t="n"/>
      <c r="CE84" s="246" t="n"/>
      <c r="CF84" s="246" t="n"/>
      <c r="CG84" s="246" t="n"/>
      <c r="CH84" s="246" t="n"/>
      <c r="CI84" s="246" t="n"/>
      <c r="CJ84" s="246" t="n"/>
      <c r="CK84" s="246" t="n"/>
      <c r="CL84" s="246" t="n"/>
      <c r="CM84" s="246" t="n"/>
      <c r="CN84" s="246" t="n"/>
      <c r="CO84" s="246" t="n"/>
      <c r="CP84" s="246" t="n"/>
      <c r="CQ84" s="246" t="n"/>
      <c r="CR84" s="246" t="n"/>
      <c r="CS84" s="246" t="n"/>
      <c r="CT84" s="246" t="n"/>
    </row>
    <row r="85" ht="10.5" customHeight="1">
      <c r="B85" s="1061" t="n"/>
      <c r="C85" s="1062" t="n"/>
      <c r="H85" s="1054" t="n"/>
      <c r="I85" s="1055" t="n"/>
      <c r="J85" s="1055" t="n"/>
      <c r="K85" s="1056" t="n"/>
      <c r="L85" s="1051" t="n"/>
      <c r="M85" s="1052" t="n"/>
      <c r="N85" s="1052" t="n"/>
      <c r="O85" s="1052" t="n"/>
      <c r="P85" s="1052" t="n"/>
      <c r="Q85" s="1052" t="n"/>
      <c r="R85" s="1049" t="n"/>
      <c r="S85" s="1050" t="n"/>
      <c r="T85" s="1054" t="n"/>
      <c r="U85" s="1055" t="n"/>
      <c r="V85" s="1055" t="n"/>
      <c r="W85" s="1052" t="n"/>
      <c r="X85" s="1052" t="n"/>
      <c r="Y85" s="1055" t="n"/>
      <c r="Z85" s="1056" t="n"/>
      <c r="AA85" s="1054" t="n"/>
      <c r="AB85" s="1055" t="n"/>
      <c r="AC85" s="1055" t="n"/>
      <c r="AD85" s="1056" t="n"/>
      <c r="AE85" s="1051" t="n"/>
      <c r="AF85" s="1052" t="n"/>
      <c r="AG85" s="1052" t="n"/>
      <c r="AH85" s="1052" t="n"/>
      <c r="AI85" s="1052" t="n"/>
      <c r="AJ85" s="1049" t="n"/>
      <c r="AK85" s="1050" t="n"/>
      <c r="AL85" s="1054" t="n"/>
      <c r="AM85" s="1055" t="n"/>
      <c r="AN85" s="1055" t="n"/>
      <c r="AO85" s="1056" t="n"/>
      <c r="AP85" s="1051" t="n"/>
      <c r="AQ85" s="1052" t="n"/>
      <c r="AR85" s="1052" t="n"/>
      <c r="AS85" s="1052" t="n"/>
      <c r="AT85" s="1052" t="n"/>
      <c r="AU85" s="1052" t="n"/>
      <c r="AV85" s="1049" t="n"/>
      <c r="AW85" s="1050" t="n"/>
      <c r="AY85" s="244" t="n"/>
      <c r="BR85" s="246" t="n"/>
      <c r="BS85" s="246" t="n"/>
      <c r="BT85" s="246" t="n"/>
      <c r="BU85" s="246" t="n"/>
      <c r="BV85" s="246" t="n"/>
      <c r="BW85" s="246" t="n"/>
      <c r="BX85" s="246" t="n"/>
      <c r="BY85" s="246" t="n"/>
      <c r="BZ85" s="246" t="n"/>
      <c r="CA85" s="246" t="n"/>
      <c r="CB85" s="246" t="n"/>
      <c r="CC85" s="246" t="n"/>
      <c r="CD85" s="246" t="n"/>
      <c r="CE85" s="246" t="n"/>
      <c r="CF85" s="246" t="n"/>
      <c r="CG85" s="246" t="n"/>
      <c r="CH85" s="246" t="n"/>
      <c r="CI85" s="246" t="n"/>
      <c r="CJ85" s="246" t="n"/>
      <c r="CK85" s="246" t="n"/>
      <c r="CL85" s="246" t="n"/>
      <c r="CM85" s="246" t="n"/>
      <c r="CN85" s="246" t="n"/>
      <c r="CO85" s="246" t="n"/>
      <c r="CP85" s="246" t="n"/>
      <c r="CQ85" s="246" t="n"/>
      <c r="CR85" s="246" t="n"/>
      <c r="CS85" s="246" t="n"/>
      <c r="CT85" s="246" t="n"/>
    </row>
    <row r="86" ht="10.5" customHeight="1">
      <c r="B86" s="1061" t="n"/>
      <c r="C86" s="1062" t="n"/>
      <c r="H86" s="561" t="inlineStr">
        <is>
          <t>収入合計</t>
        </is>
      </c>
      <c r="I86" s="1045" t="n"/>
      <c r="J86" s="1045" t="n"/>
      <c r="K86" s="1046" t="n"/>
      <c r="L86" s="1114">
        <f>AP80+AP84</f>
        <v/>
      </c>
      <c r="M86" s="1042" t="n"/>
      <c r="N86" s="1042" t="n"/>
      <c r="O86" s="1042" t="n"/>
      <c r="P86" s="1042" t="n"/>
      <c r="Q86" s="1042" t="n"/>
      <c r="R86" s="1042" t="n"/>
      <c r="S86" s="1042" t="n"/>
      <c r="T86" s="580" t="inlineStr">
        <is>
          <t>円</t>
        </is>
      </c>
      <c r="U86" s="1040" t="n"/>
      <c r="V86" s="1118" t="inlineStr">
        <is>
          <t>（内訳）</t>
        </is>
      </c>
      <c r="W86" s="1045" t="n"/>
      <c r="X86" s="1045" t="n"/>
      <c r="Y86" s="1045" t="n"/>
      <c r="Z86" s="596" t="inlineStr">
        <is>
          <t>税抜合計</t>
        </is>
      </c>
      <c r="AA86" s="1045" t="n"/>
      <c r="AB86" s="1045" t="n"/>
      <c r="AC86" s="1046" t="n"/>
      <c r="AD86" s="1114">
        <f>L80+L84</f>
        <v/>
      </c>
      <c r="AE86" s="1042" t="n"/>
      <c r="AF86" s="1042" t="n"/>
      <c r="AG86" s="1042" t="n"/>
      <c r="AH86" s="1042" t="n"/>
      <c r="AI86" s="1042" t="n"/>
      <c r="AJ86" s="580" t="inlineStr">
        <is>
          <t>円</t>
        </is>
      </c>
      <c r="AK86" s="1040" t="n"/>
      <c r="AL86" s="561" t="inlineStr">
        <is>
          <t>消費税合計</t>
        </is>
      </c>
      <c r="AM86" s="1045" t="n"/>
      <c r="AN86" s="1045" t="n"/>
      <c r="AO86" s="1046" t="n"/>
      <c r="AP86" s="1114">
        <f>AE80+AE84</f>
        <v/>
      </c>
      <c r="AQ86" s="1042" t="n"/>
      <c r="AR86" s="1042" t="n"/>
      <c r="AS86" s="1042" t="n"/>
      <c r="AT86" s="1042" t="n"/>
      <c r="AU86" s="1042" t="n"/>
      <c r="AV86" s="580" t="inlineStr">
        <is>
          <t>円</t>
        </is>
      </c>
      <c r="AW86" s="1040" t="n"/>
      <c r="AY86" s="244" t="n"/>
      <c r="BR86" s="246" t="n"/>
      <c r="BS86" s="246" t="n"/>
      <c r="BT86" s="246" t="n"/>
      <c r="BU86" s="246" t="n"/>
      <c r="BV86" s="246" t="n"/>
      <c r="BW86" s="246" t="n"/>
      <c r="BX86" s="246" t="n"/>
      <c r="BY86" s="246" t="n"/>
      <c r="BZ86" s="246" t="n"/>
      <c r="CA86" s="246" t="n"/>
      <c r="CB86" s="246" t="n"/>
      <c r="CC86" s="246" t="n"/>
      <c r="CD86" s="246" t="n"/>
      <c r="CE86" s="246" t="n"/>
      <c r="CF86" s="246" t="n"/>
      <c r="CG86" s="246" t="n"/>
      <c r="CH86" s="246" t="n"/>
      <c r="CI86" s="246" t="n"/>
      <c r="CJ86" s="246" t="n"/>
      <c r="CK86" s="246" t="n"/>
      <c r="CL86" s="246" t="n"/>
      <c r="CM86" s="246" t="n"/>
      <c r="CN86" s="246" t="n"/>
      <c r="CO86" s="246" t="n"/>
      <c r="CP86" s="246" t="n"/>
      <c r="CQ86" s="246" t="n"/>
      <c r="CR86" s="246" t="n"/>
      <c r="CS86" s="246" t="n"/>
      <c r="CT86" s="246" t="n"/>
    </row>
    <row r="87" ht="10.5" customHeight="1">
      <c r="B87" s="1061" t="n"/>
      <c r="C87" s="1062" t="n"/>
      <c r="D87" s="1055" t="n"/>
      <c r="E87" s="1055" t="n"/>
      <c r="F87" s="1055" t="n"/>
      <c r="G87" s="1055" t="n"/>
      <c r="H87" s="1054" t="n"/>
      <c r="I87" s="1055" t="n"/>
      <c r="J87" s="1055" t="n"/>
      <c r="K87" s="1056" t="n"/>
      <c r="L87" s="1051" t="n"/>
      <c r="M87" s="1052" t="n"/>
      <c r="N87" s="1052" t="n"/>
      <c r="O87" s="1052" t="n"/>
      <c r="P87" s="1052" t="n"/>
      <c r="Q87" s="1052" t="n"/>
      <c r="R87" s="1052" t="n"/>
      <c r="S87" s="1052" t="n"/>
      <c r="T87" s="1049" t="n"/>
      <c r="U87" s="1050" t="n"/>
      <c r="V87" s="1054" t="n"/>
      <c r="W87" s="1055" t="n"/>
      <c r="X87" s="1055" t="n"/>
      <c r="Y87" s="1055" t="n"/>
      <c r="Z87" s="1055" t="n"/>
      <c r="AA87" s="1055" t="n"/>
      <c r="AB87" s="1055" t="n"/>
      <c r="AC87" s="1056" t="n"/>
      <c r="AD87" s="1051" t="n"/>
      <c r="AE87" s="1052" t="n"/>
      <c r="AF87" s="1052" t="n"/>
      <c r="AG87" s="1052" t="n"/>
      <c r="AH87" s="1052" t="n"/>
      <c r="AI87" s="1052" t="n"/>
      <c r="AJ87" s="1049" t="n"/>
      <c r="AK87" s="1050" t="n"/>
      <c r="AL87" s="1054" t="n"/>
      <c r="AM87" s="1055" t="n"/>
      <c r="AN87" s="1055" t="n"/>
      <c r="AO87" s="1056" t="n"/>
      <c r="AP87" s="1051" t="n"/>
      <c r="AQ87" s="1052" t="n"/>
      <c r="AR87" s="1052" t="n"/>
      <c r="AS87" s="1052" t="n"/>
      <c r="AT87" s="1052" t="n"/>
      <c r="AU87" s="1052" t="n"/>
      <c r="AV87" s="1049" t="n"/>
      <c r="AW87" s="1050" t="n"/>
      <c r="AY87" s="244" t="n"/>
      <c r="BR87" s="246" t="n"/>
      <c r="BS87" s="246" t="n"/>
      <c r="BT87" s="246" t="n"/>
      <c r="BU87" s="246" t="n"/>
      <c r="BV87" s="246" t="n"/>
      <c r="BW87" s="246" t="n"/>
      <c r="BX87" s="246" t="n"/>
      <c r="BY87" s="246" t="n"/>
      <c r="BZ87" s="246" t="n"/>
      <c r="CA87" s="246" t="n"/>
      <c r="CB87" s="246" t="n"/>
      <c r="CC87" s="246" t="n"/>
      <c r="CD87" s="246" t="n"/>
      <c r="CE87" s="246" t="n"/>
      <c r="CF87" s="246" t="n"/>
      <c r="CG87" s="246" t="n"/>
      <c r="CH87" s="246" t="n"/>
      <c r="CI87" s="246" t="n"/>
      <c r="CJ87" s="246" t="n"/>
      <c r="CK87" s="246" t="n"/>
      <c r="CL87" s="246" t="n"/>
      <c r="CM87" s="246" t="n"/>
      <c r="CN87" s="246" t="n"/>
      <c r="CO87" s="246" t="n"/>
      <c r="CP87" s="246" t="n"/>
      <c r="CQ87" s="246" t="n"/>
      <c r="CR87" s="246" t="n"/>
      <c r="CS87" s="246" t="n"/>
      <c r="CT87" s="246" t="n"/>
    </row>
    <row r="88" ht="10.5" customHeight="1">
      <c r="B88" s="1061" t="n"/>
      <c r="C88" s="1062" t="n"/>
      <c r="D88" s="1119" t="inlineStr">
        <is>
          <t>支払
手数料</t>
        </is>
      </c>
      <c r="E88" s="1045" t="n"/>
      <c r="F88" s="1045" t="n"/>
      <c r="G88" s="1046" t="n"/>
      <c r="H88" s="561" t="inlineStr">
        <is>
          <t>日  付</t>
        </is>
      </c>
      <c r="I88" s="1045" t="n"/>
      <c r="J88" s="1045" t="n"/>
      <c r="K88" s="1046" t="n"/>
      <c r="L88" s="1057" t="n"/>
      <c r="M88" s="1042" t="n"/>
      <c r="N88" s="1042" t="n"/>
      <c r="O88" s="1042" t="n"/>
      <c r="P88" s="1042" t="n"/>
      <c r="Q88" s="1042" t="n"/>
      <c r="R88" s="1042" t="n"/>
      <c r="S88" s="1043" t="n"/>
      <c r="T88" s="561" t="inlineStr">
        <is>
          <t>支払先</t>
        </is>
      </c>
      <c r="U88" s="1045" t="n"/>
      <c r="V88" s="1045" t="n"/>
      <c r="W88" s="1046" t="n"/>
      <c r="X88" s="560" t="n"/>
      <c r="Y88" s="1042" t="n"/>
      <c r="Z88" s="1042" t="n"/>
      <c r="AA88" s="1042" t="n"/>
      <c r="AB88" s="1042" t="n"/>
      <c r="AC88" s="1042" t="n"/>
      <c r="AD88" s="1042" t="n"/>
      <c r="AE88" s="1042" t="n"/>
      <c r="AF88" s="1042" t="n"/>
      <c r="AG88" s="1042" t="n"/>
      <c r="AH88" s="1042" t="n"/>
      <c r="AI88" s="1042" t="n"/>
      <c r="AJ88" s="1042" t="n"/>
      <c r="AK88" s="1042" t="n"/>
      <c r="AL88" s="1042" t="n"/>
      <c r="AM88" s="1042" t="n"/>
      <c r="AN88" s="1042" t="n"/>
      <c r="AO88" s="1042" t="n"/>
      <c r="AP88" s="1042" t="n"/>
      <c r="AQ88" s="1042" t="n"/>
      <c r="AR88" s="1042" t="n"/>
      <c r="AS88" s="1042" t="n"/>
      <c r="AT88" s="1042" t="n"/>
      <c r="AU88" s="1042" t="n"/>
      <c r="AV88" s="1042" t="n"/>
      <c r="AW88" s="1043" t="n"/>
      <c r="AX88" s="246" t="n"/>
      <c r="AY88" s="246" t="n"/>
      <c r="BK88" s="246" t="n"/>
      <c r="BL88" s="246" t="n"/>
      <c r="BM88" s="246" t="n"/>
      <c r="BN88" s="246" t="n"/>
      <c r="BO88" s="246" t="n"/>
      <c r="BP88" s="246" t="n"/>
      <c r="BQ88" s="246" t="n"/>
      <c r="BR88" s="246" t="n"/>
      <c r="BS88" s="246" t="n"/>
      <c r="BT88" s="246" t="n"/>
      <c r="BU88" s="246" t="n"/>
      <c r="BV88" s="246" t="n"/>
      <c r="BW88" s="246" t="n"/>
      <c r="BX88" s="246" t="n"/>
      <c r="BY88" s="246" t="n"/>
      <c r="BZ88" s="246" t="n"/>
      <c r="CA88" s="246" t="n"/>
      <c r="CB88" s="246" t="n"/>
      <c r="CC88" s="246" t="n"/>
      <c r="CD88" s="246" t="n"/>
      <c r="CE88" s="246" t="n"/>
      <c r="CF88" s="246" t="n"/>
      <c r="CG88" s="246" t="n"/>
      <c r="CH88" s="246" t="n"/>
      <c r="CI88" s="246" t="n"/>
      <c r="CJ88" s="246" t="n"/>
      <c r="CK88" s="246" t="n"/>
      <c r="CL88" s="246" t="n"/>
      <c r="CM88" s="246" t="n"/>
      <c r="CN88" s="246" t="n"/>
      <c r="CO88" s="246" t="n"/>
      <c r="CP88" s="246" t="n"/>
      <c r="CQ88" s="246" t="n"/>
      <c r="CR88" s="246" t="n"/>
    </row>
    <row r="89" ht="10.5" customHeight="1">
      <c r="B89" s="1061" t="n"/>
      <c r="C89" s="1062" t="n"/>
      <c r="D89" s="1061" t="n"/>
      <c r="G89" s="1062" t="n"/>
      <c r="H89" s="1054" t="n"/>
      <c r="I89" s="1055" t="n"/>
      <c r="J89" s="1055" t="n"/>
      <c r="K89" s="1056" t="n"/>
      <c r="L89" s="1051" t="n"/>
      <c r="M89" s="1052" t="n"/>
      <c r="N89" s="1052" t="n"/>
      <c r="O89" s="1052" t="n"/>
      <c r="P89" s="1052" t="n"/>
      <c r="Q89" s="1052" t="n"/>
      <c r="R89" s="1052" t="n"/>
      <c r="S89" s="1053" t="n"/>
      <c r="T89" s="1054" t="n"/>
      <c r="U89" s="1055" t="n"/>
      <c r="V89" s="1055" t="n"/>
      <c r="W89" s="1056" t="n"/>
      <c r="X89" s="1051" t="n"/>
      <c r="Y89" s="1052" t="n"/>
      <c r="Z89" s="1052" t="n"/>
      <c r="AA89" s="1052" t="n"/>
      <c r="AB89" s="1052" t="n"/>
      <c r="AC89" s="1052" t="n"/>
      <c r="AD89" s="1052" t="n"/>
      <c r="AE89" s="1052" t="n"/>
      <c r="AF89" s="1052" t="n"/>
      <c r="AG89" s="1052" t="n"/>
      <c r="AH89" s="1052" t="n"/>
      <c r="AI89" s="1052" t="n"/>
      <c r="AJ89" s="1052" t="n"/>
      <c r="AK89" s="1052" t="n"/>
      <c r="AL89" s="1052" t="n"/>
      <c r="AM89" s="1052" t="n"/>
      <c r="AN89" s="1052" t="n"/>
      <c r="AO89" s="1052" t="n"/>
      <c r="AP89" s="1052" t="n"/>
      <c r="AQ89" s="1052" t="n"/>
      <c r="AR89" s="1052" t="n"/>
      <c r="AS89" s="1052" t="n"/>
      <c r="AT89" s="1052" t="n"/>
      <c r="AU89" s="1052" t="n"/>
      <c r="AV89" s="1052" t="n"/>
      <c r="AW89" s="1053" t="n"/>
      <c r="AX89" s="246" t="n"/>
      <c r="AY89" s="246" t="n"/>
      <c r="AZ89" s="246" t="n"/>
      <c r="BA89" s="246" t="n"/>
      <c r="BB89" s="246" t="n"/>
      <c r="BC89" s="246" t="n"/>
      <c r="BD89" s="246" t="n"/>
      <c r="BE89" s="246" t="n"/>
      <c r="BF89" s="246" t="n"/>
      <c r="BG89" s="246" t="n"/>
      <c r="BH89" s="246" t="n"/>
      <c r="BI89" s="246" t="n"/>
      <c r="BJ89" s="246" t="n"/>
      <c r="BK89" s="246" t="n"/>
      <c r="BL89" s="246" t="n"/>
      <c r="BM89" s="246" t="n"/>
      <c r="BN89" s="246" t="n"/>
      <c r="BO89" s="246" t="n"/>
      <c r="BP89" s="246" t="n"/>
      <c r="BQ89" s="246" t="n"/>
      <c r="BR89" s="246" t="n"/>
      <c r="BS89" s="246" t="n"/>
      <c r="BT89" s="246" t="n"/>
      <c r="BU89" s="246" t="n"/>
      <c r="BV89" s="246" t="n"/>
      <c r="BW89" s="246" t="n"/>
      <c r="BX89" s="246" t="n"/>
      <c r="BY89" s="246" t="n"/>
      <c r="BZ89" s="246" t="n"/>
      <c r="CA89" s="246" t="n"/>
      <c r="CB89" s="246" t="n"/>
      <c r="CC89" s="246" t="n"/>
      <c r="CD89" s="246" t="n"/>
      <c r="CE89" s="246" t="n"/>
      <c r="CF89" s="246" t="n"/>
      <c r="CG89" s="246" t="n"/>
      <c r="CH89" s="246" t="n"/>
      <c r="CI89" s="246" t="n"/>
      <c r="CJ89" s="246" t="n"/>
      <c r="CK89" s="246" t="n"/>
      <c r="CL89" s="246" t="n"/>
      <c r="CM89" s="246" t="n"/>
      <c r="CN89" s="246" t="n"/>
      <c r="CO89" s="246" t="n"/>
      <c r="CP89" s="246" t="n"/>
      <c r="CQ89" s="246" t="n"/>
      <c r="CR89" s="246" t="n"/>
    </row>
    <row r="90" ht="10.5" customHeight="1">
      <c r="B90" s="1061" t="n"/>
      <c r="C90" s="1062" t="n"/>
      <c r="D90" s="1061" t="n"/>
      <c r="G90" s="1062" t="n"/>
      <c r="H90" s="561" t="inlineStr">
        <is>
          <t>金  額</t>
        </is>
      </c>
      <c r="I90" s="1045" t="n"/>
      <c r="J90" s="1045" t="n"/>
      <c r="K90" s="1046" t="n"/>
      <c r="L90" s="1114" t="n"/>
      <c r="M90" s="1042" t="n"/>
      <c r="N90" s="1042" t="n"/>
      <c r="O90" s="1042" t="n"/>
      <c r="P90" s="1042" t="n"/>
      <c r="Q90" s="1042" t="n"/>
      <c r="R90" s="580" t="inlineStr">
        <is>
          <t>円</t>
        </is>
      </c>
      <c r="S90" s="1040" t="n"/>
      <c r="T90" s="1115" t="inlineStr">
        <is>
          <t>(税率)</t>
        </is>
      </c>
      <c r="U90" s="1045" t="n"/>
      <c r="V90" s="1045" t="n"/>
      <c r="W90" s="1116" t="n"/>
      <c r="X90" s="1042" t="n"/>
      <c r="Y90" s="1117" t="inlineStr">
        <is>
          <t>％</t>
        </is>
      </c>
      <c r="Z90" s="1046" t="n"/>
      <c r="AA90" s="561" t="inlineStr">
        <is>
          <t>消費税</t>
        </is>
      </c>
      <c r="AB90" s="1045" t="n"/>
      <c r="AC90" s="1045" t="n"/>
      <c r="AD90" s="1046" t="n"/>
      <c r="AE90" s="1114">
        <f>L90*W90*0.01</f>
        <v/>
      </c>
      <c r="AF90" s="1042" t="n"/>
      <c r="AG90" s="1042" t="n"/>
      <c r="AH90" s="1042" t="n"/>
      <c r="AI90" s="1042" t="n"/>
      <c r="AJ90" s="580" t="inlineStr">
        <is>
          <t>円</t>
        </is>
      </c>
      <c r="AK90" s="1040" t="n"/>
      <c r="AL90" s="561" t="inlineStr">
        <is>
          <t>合  計</t>
        </is>
      </c>
      <c r="AM90" s="1045" t="n"/>
      <c r="AN90" s="1045" t="n"/>
      <c r="AO90" s="1046" t="n"/>
      <c r="AP90" s="1114">
        <f>L90+AE90</f>
        <v/>
      </c>
      <c r="AQ90" s="1042" t="n"/>
      <c r="AR90" s="1042" t="n"/>
      <c r="AS90" s="1042" t="n"/>
      <c r="AT90" s="1042" t="n"/>
      <c r="AU90" s="1042" t="n"/>
      <c r="AV90" s="580" t="inlineStr">
        <is>
          <t>円</t>
        </is>
      </c>
      <c r="AW90" s="1040" t="n"/>
      <c r="AX90" s="246" t="n"/>
      <c r="AY90" s="246" t="n"/>
      <c r="BG90" s="246" t="n"/>
      <c r="BH90" s="246" t="n"/>
      <c r="BI90" s="246" t="n"/>
      <c r="BJ90" s="246" t="n"/>
      <c r="BK90" s="246" t="n"/>
      <c r="BL90" s="246" t="n"/>
      <c r="BM90" s="246" t="n"/>
      <c r="BN90" s="246" t="n"/>
      <c r="BO90" s="246" t="n"/>
      <c r="BP90" s="246" t="n"/>
      <c r="BQ90" s="246" t="n"/>
      <c r="BR90" s="246" t="n"/>
      <c r="BS90" s="246" t="n"/>
      <c r="BT90" s="246" t="n"/>
      <c r="BU90" s="246" t="n"/>
      <c r="BV90" s="246" t="n"/>
      <c r="BW90" s="246" t="n"/>
      <c r="BX90" s="246" t="n"/>
      <c r="BY90" s="246" t="n"/>
      <c r="BZ90" s="246" t="n"/>
      <c r="CA90" s="246" t="n"/>
      <c r="CB90" s="246" t="n"/>
      <c r="CC90" s="246" t="n"/>
      <c r="CD90" s="246" t="n"/>
      <c r="CE90" s="246" t="n"/>
      <c r="CF90" s="246" t="n"/>
      <c r="CG90" s="246" t="n"/>
      <c r="CH90" s="246" t="n"/>
      <c r="CI90" s="246" t="n"/>
      <c r="CJ90" s="246" t="n"/>
      <c r="CK90" s="246" t="n"/>
      <c r="CL90" s="246" t="n"/>
      <c r="CM90" s="246" t="n"/>
      <c r="CN90" s="246" t="n"/>
      <c r="CO90" s="246" t="n"/>
      <c r="CP90" s="246" t="n"/>
      <c r="CQ90" s="246" t="n"/>
      <c r="CR90" s="246" t="n"/>
    </row>
    <row r="91" ht="10.5" customHeight="1">
      <c r="B91" s="1061" t="n"/>
      <c r="C91" s="1062" t="n"/>
      <c r="D91" s="1061" t="n"/>
      <c r="G91" s="1062" t="n"/>
      <c r="H91" s="1054" t="n"/>
      <c r="I91" s="1055" t="n"/>
      <c r="J91" s="1055" t="n"/>
      <c r="K91" s="1056" t="n"/>
      <c r="L91" s="1051" t="n"/>
      <c r="M91" s="1052" t="n"/>
      <c r="N91" s="1052" t="n"/>
      <c r="O91" s="1052" t="n"/>
      <c r="P91" s="1052" t="n"/>
      <c r="Q91" s="1052" t="n"/>
      <c r="R91" s="1049" t="n"/>
      <c r="S91" s="1050" t="n"/>
      <c r="T91" s="1054" t="n"/>
      <c r="U91" s="1055" t="n"/>
      <c r="V91" s="1055" t="n"/>
      <c r="W91" s="1052" t="n"/>
      <c r="X91" s="1052" t="n"/>
      <c r="Y91" s="1055" t="n"/>
      <c r="Z91" s="1056" t="n"/>
      <c r="AA91" s="1054" t="n"/>
      <c r="AB91" s="1055" t="n"/>
      <c r="AC91" s="1055" t="n"/>
      <c r="AD91" s="1056" t="n"/>
      <c r="AE91" s="1051" t="n"/>
      <c r="AF91" s="1052" t="n"/>
      <c r="AG91" s="1052" t="n"/>
      <c r="AH91" s="1052" t="n"/>
      <c r="AI91" s="1052" t="n"/>
      <c r="AJ91" s="1049" t="n"/>
      <c r="AK91" s="1050" t="n"/>
      <c r="AL91" s="1054" t="n"/>
      <c r="AM91" s="1055" t="n"/>
      <c r="AN91" s="1055" t="n"/>
      <c r="AO91" s="1056" t="n"/>
      <c r="AP91" s="1051" t="n"/>
      <c r="AQ91" s="1052" t="n"/>
      <c r="AR91" s="1052" t="n"/>
      <c r="AS91" s="1052" t="n"/>
      <c r="AT91" s="1052" t="n"/>
      <c r="AU91" s="1052" t="n"/>
      <c r="AV91" s="1049" t="n"/>
      <c r="AW91" s="1050" t="n"/>
      <c r="AX91" s="246" t="n"/>
      <c r="AY91" s="246" t="n"/>
      <c r="BG91" s="246" t="n"/>
      <c r="BH91" s="246" t="n"/>
      <c r="BI91" s="246" t="n"/>
      <c r="BJ91" s="246" t="n"/>
      <c r="BK91" s="246" t="n"/>
      <c r="BL91" s="246" t="n"/>
      <c r="BM91" s="246" t="n"/>
      <c r="BN91" s="246" t="n"/>
      <c r="BO91" s="246" t="n"/>
      <c r="BP91" s="246" t="n"/>
      <c r="BQ91" s="246" t="n"/>
      <c r="BR91" s="246" t="n"/>
      <c r="BS91" s="246" t="n"/>
      <c r="BT91" s="246" t="n"/>
      <c r="BU91" s="246" t="n"/>
      <c r="BV91" s="246" t="n"/>
      <c r="BW91" s="246" t="n"/>
      <c r="BX91" s="246" t="n"/>
      <c r="BY91" s="246" t="n"/>
      <c r="BZ91" s="246" t="n"/>
      <c r="CA91" s="246" t="n"/>
      <c r="CB91" s="246" t="n"/>
      <c r="CC91" s="246" t="n"/>
      <c r="CD91" s="246" t="n"/>
      <c r="CE91" s="246" t="n"/>
      <c r="CF91" s="246" t="n"/>
      <c r="CG91" s="246" t="n"/>
      <c r="CH91" s="246" t="n"/>
      <c r="CI91" s="246" t="n"/>
      <c r="CJ91" s="246" t="n"/>
      <c r="CK91" s="246" t="n"/>
      <c r="CL91" s="246" t="n"/>
      <c r="CM91" s="246" t="n"/>
      <c r="CN91" s="246" t="n"/>
      <c r="CO91" s="246" t="n"/>
      <c r="CP91" s="246" t="n"/>
      <c r="CQ91" s="246" t="n"/>
      <c r="CR91" s="246" t="n"/>
    </row>
    <row r="92" ht="10.5" customHeight="1">
      <c r="B92" s="1061" t="n"/>
      <c r="C92" s="1062" t="n"/>
      <c r="D92" s="1061" t="n"/>
      <c r="G92" s="1062" t="n"/>
      <c r="H92" s="561" t="inlineStr">
        <is>
          <t>日  付</t>
        </is>
      </c>
      <c r="I92" s="1045" t="n"/>
      <c r="J92" s="1045" t="n"/>
      <c r="K92" s="1046" t="n"/>
      <c r="L92" s="1057" t="n"/>
      <c r="M92" s="1042" t="n"/>
      <c r="N92" s="1042" t="n"/>
      <c r="O92" s="1042" t="n"/>
      <c r="P92" s="1042" t="n"/>
      <c r="Q92" s="1042" t="n"/>
      <c r="R92" s="1042" t="n"/>
      <c r="S92" s="1043" t="n"/>
      <c r="T92" s="561" t="inlineStr">
        <is>
          <t>支払先</t>
        </is>
      </c>
      <c r="U92" s="1045" t="n"/>
      <c r="V92" s="1045" t="n"/>
      <c r="W92" s="1046" t="n"/>
      <c r="X92" s="560" t="n"/>
      <c r="Y92" s="1042" t="n"/>
      <c r="Z92" s="1042" t="n"/>
      <c r="AA92" s="1042" t="n"/>
      <c r="AB92" s="1042" t="n"/>
      <c r="AC92" s="1042" t="n"/>
      <c r="AD92" s="1042" t="n"/>
      <c r="AE92" s="1042" t="n"/>
      <c r="AF92" s="1042" t="n"/>
      <c r="AG92" s="1042" t="n"/>
      <c r="AH92" s="1042" t="n"/>
      <c r="AI92" s="1042" t="n"/>
      <c r="AJ92" s="1042" t="n"/>
      <c r="AK92" s="1042" t="n"/>
      <c r="AL92" s="1042" t="n"/>
      <c r="AM92" s="1042" t="n"/>
      <c r="AN92" s="1042" t="n"/>
      <c r="AO92" s="1042" t="n"/>
      <c r="AP92" s="1042" t="n"/>
      <c r="AQ92" s="1042" t="n"/>
      <c r="AR92" s="1042" t="n"/>
      <c r="AS92" s="1042" t="n"/>
      <c r="AT92" s="1042" t="n"/>
      <c r="AU92" s="1042" t="n"/>
      <c r="AV92" s="1042" t="n"/>
      <c r="AW92" s="1043" t="n"/>
      <c r="AX92" s="246" t="n"/>
      <c r="AY92" s="246" t="n"/>
      <c r="AZ92" s="246" t="n"/>
      <c r="BA92" s="246" t="n"/>
      <c r="BB92" s="246" t="n"/>
      <c r="BC92" s="246" t="n"/>
      <c r="BD92" s="246" t="n"/>
      <c r="BE92" s="246" t="n"/>
      <c r="BF92" s="246" t="n"/>
      <c r="BG92" s="246" t="n"/>
      <c r="BH92" s="246" t="n"/>
      <c r="BI92" s="246" t="n"/>
      <c r="BJ92" s="246" t="n"/>
      <c r="BK92" s="246" t="n"/>
      <c r="BL92" s="246" t="n"/>
      <c r="BM92" s="246" t="n"/>
      <c r="BN92" s="246" t="n"/>
      <c r="BO92" s="246" t="n"/>
      <c r="BP92" s="246" t="n"/>
      <c r="BQ92" s="246" t="n"/>
      <c r="BR92" s="246" t="n"/>
      <c r="BS92" s="246" t="n"/>
      <c r="BT92" s="246" t="n"/>
      <c r="BU92" s="246" t="n"/>
      <c r="BV92" s="246" t="n"/>
      <c r="BW92" s="246" t="n"/>
      <c r="BX92" s="246" t="n"/>
      <c r="BY92" s="246" t="n"/>
      <c r="BZ92" s="246" t="n"/>
      <c r="CA92" s="246" t="n"/>
      <c r="CB92" s="246" t="n"/>
      <c r="CC92" s="246" t="n"/>
      <c r="CD92" s="246" t="n"/>
      <c r="CE92" s="246" t="n"/>
      <c r="CF92" s="246" t="n"/>
      <c r="CG92" s="246" t="n"/>
      <c r="CH92" s="246" t="n"/>
      <c r="CI92" s="246" t="n"/>
      <c r="CJ92" s="246" t="n"/>
      <c r="CK92" s="246" t="n"/>
      <c r="CL92" s="246" t="n"/>
      <c r="CM92" s="246" t="n"/>
      <c r="CN92" s="246" t="n"/>
      <c r="CO92" s="246" t="n"/>
      <c r="CP92" s="246" t="n"/>
      <c r="CQ92" s="246" t="n"/>
      <c r="CR92" s="246" t="n"/>
      <c r="CS92" s="246" t="n"/>
    </row>
    <row r="93" ht="10.5" customHeight="1">
      <c r="B93" s="1061" t="n"/>
      <c r="C93" s="1062" t="n"/>
      <c r="D93" s="1061" t="n"/>
      <c r="G93" s="1062" t="n"/>
      <c r="H93" s="1054" t="n"/>
      <c r="I93" s="1055" t="n"/>
      <c r="J93" s="1055" t="n"/>
      <c r="K93" s="1056" t="n"/>
      <c r="L93" s="1051" t="n"/>
      <c r="M93" s="1052" t="n"/>
      <c r="N93" s="1052" t="n"/>
      <c r="O93" s="1052" t="n"/>
      <c r="P93" s="1052" t="n"/>
      <c r="Q93" s="1052" t="n"/>
      <c r="R93" s="1052" t="n"/>
      <c r="S93" s="1053" t="n"/>
      <c r="T93" s="1054" t="n"/>
      <c r="U93" s="1055" t="n"/>
      <c r="V93" s="1055" t="n"/>
      <c r="W93" s="1056" t="n"/>
      <c r="X93" s="1051" t="n"/>
      <c r="Y93" s="1052" t="n"/>
      <c r="Z93" s="1052" t="n"/>
      <c r="AA93" s="1052" t="n"/>
      <c r="AB93" s="1052" t="n"/>
      <c r="AC93" s="1052" t="n"/>
      <c r="AD93" s="1052" t="n"/>
      <c r="AE93" s="1052" t="n"/>
      <c r="AF93" s="1052" t="n"/>
      <c r="AG93" s="1052" t="n"/>
      <c r="AH93" s="1052" t="n"/>
      <c r="AI93" s="1052" t="n"/>
      <c r="AJ93" s="1052" t="n"/>
      <c r="AK93" s="1052" t="n"/>
      <c r="AL93" s="1052" t="n"/>
      <c r="AM93" s="1052" t="n"/>
      <c r="AN93" s="1052" t="n"/>
      <c r="AO93" s="1052" t="n"/>
      <c r="AP93" s="1052" t="n"/>
      <c r="AQ93" s="1052" t="n"/>
      <c r="AR93" s="1052" t="n"/>
      <c r="AS93" s="1052" t="n"/>
      <c r="AT93" s="1052" t="n"/>
      <c r="AU93" s="1052" t="n"/>
      <c r="AV93" s="1052" t="n"/>
      <c r="AW93" s="1053" t="n"/>
      <c r="AX93" s="246" t="n"/>
      <c r="AY93" s="246" t="n"/>
      <c r="BK93" s="246" t="n"/>
      <c r="BL93" s="246" t="n"/>
      <c r="BM93" s="246" t="n"/>
      <c r="BN93" s="246" t="n"/>
      <c r="BO93" s="246" t="n"/>
      <c r="BP93" s="246" t="n"/>
      <c r="BQ93" s="246" t="n"/>
      <c r="BR93" s="246" t="n"/>
      <c r="BS93" s="246" t="n"/>
      <c r="BT93" s="246" t="n"/>
      <c r="BU93" s="246" t="n"/>
      <c r="BV93" s="246" t="n"/>
      <c r="BW93" s="246" t="n"/>
      <c r="BX93" s="246" t="n"/>
      <c r="BY93" s="246" t="n"/>
      <c r="BZ93" s="246" t="n"/>
      <c r="CA93" s="246" t="n"/>
      <c r="CB93" s="246" t="n"/>
      <c r="CC93" s="246" t="n"/>
      <c r="CD93" s="246" t="n"/>
      <c r="CE93" s="246" t="n"/>
      <c r="CF93" s="246" t="n"/>
      <c r="CG93" s="246" t="n"/>
      <c r="CH93" s="246" t="n"/>
      <c r="CI93" s="246" t="n"/>
      <c r="CJ93" s="246" t="n"/>
      <c r="CK93" s="246" t="n"/>
      <c r="CL93" s="246" t="n"/>
      <c r="CM93" s="246" t="n"/>
      <c r="CN93" s="246" t="n"/>
      <c r="CO93" s="246" t="n"/>
      <c r="CP93" s="246" t="n"/>
      <c r="CQ93" s="246" t="n"/>
      <c r="CR93" s="246" t="n"/>
      <c r="CS93" s="246" t="n"/>
    </row>
    <row r="94" ht="10.5" customHeight="1">
      <c r="B94" s="1061" t="n"/>
      <c r="C94" s="1062" t="n"/>
      <c r="D94" s="1061" t="n"/>
      <c r="G94" s="1062" t="n"/>
      <c r="H94" s="561" t="inlineStr">
        <is>
          <t>金  額</t>
        </is>
      </c>
      <c r="I94" s="1045" t="n"/>
      <c r="J94" s="1045" t="n"/>
      <c r="K94" s="1046" t="n"/>
      <c r="L94" s="1114" t="n"/>
      <c r="M94" s="1042" t="n"/>
      <c r="N94" s="1042" t="n"/>
      <c r="O94" s="1042" t="n"/>
      <c r="P94" s="1042" t="n"/>
      <c r="Q94" s="1042" t="n"/>
      <c r="R94" s="580" t="inlineStr">
        <is>
          <t>円</t>
        </is>
      </c>
      <c r="S94" s="1040" t="n"/>
      <c r="T94" s="1115" t="inlineStr">
        <is>
          <t>(税率)</t>
        </is>
      </c>
      <c r="U94" s="1045" t="n"/>
      <c r="V94" s="1045" t="n"/>
      <c r="W94" s="1116" t="n"/>
      <c r="X94" s="1042" t="n"/>
      <c r="Y94" s="1117" t="inlineStr">
        <is>
          <t>％</t>
        </is>
      </c>
      <c r="Z94" s="1046" t="n"/>
      <c r="AA94" s="561" t="inlineStr">
        <is>
          <t>消費税</t>
        </is>
      </c>
      <c r="AB94" s="1045" t="n"/>
      <c r="AC94" s="1045" t="n"/>
      <c r="AD94" s="1046" t="n"/>
      <c r="AE94" s="1114">
        <f>L94*W94*0.01</f>
        <v/>
      </c>
      <c r="AF94" s="1042" t="n"/>
      <c r="AG94" s="1042" t="n"/>
      <c r="AH94" s="1042" t="n"/>
      <c r="AI94" s="1042" t="n"/>
      <c r="AJ94" s="580" t="inlineStr">
        <is>
          <t>円</t>
        </is>
      </c>
      <c r="AK94" s="1040" t="n"/>
      <c r="AL94" s="561" t="inlineStr">
        <is>
          <t>合  計</t>
        </is>
      </c>
      <c r="AM94" s="1045" t="n"/>
      <c r="AN94" s="1045" t="n"/>
      <c r="AO94" s="1046" t="n"/>
      <c r="AP94" s="1114">
        <f>L94+AE94</f>
        <v/>
      </c>
      <c r="AQ94" s="1042" t="n"/>
      <c r="AR94" s="1042" t="n"/>
      <c r="AS94" s="1042" t="n"/>
      <c r="AT94" s="1042" t="n"/>
      <c r="AU94" s="1042" t="n"/>
      <c r="AV94" s="580" t="inlineStr">
        <is>
          <t>円</t>
        </is>
      </c>
      <c r="AW94" s="1040" t="n"/>
      <c r="AX94" s="246" t="n"/>
      <c r="AY94" s="246" t="n"/>
      <c r="BK94" s="246" t="n"/>
      <c r="BL94" s="246" t="n"/>
      <c r="BM94" s="246" t="n"/>
      <c r="BN94" s="246" t="n"/>
      <c r="BO94" s="246" t="n"/>
      <c r="BP94" s="246" t="n"/>
      <c r="BQ94" s="246" t="n"/>
      <c r="BR94" s="246" t="n"/>
      <c r="BS94" s="246" t="n"/>
      <c r="BT94" s="246" t="n"/>
      <c r="BU94" s="246" t="n"/>
      <c r="BV94" s="246" t="n"/>
      <c r="BW94" s="246" t="n"/>
      <c r="BX94" s="246" t="n"/>
      <c r="BY94" s="246" t="n"/>
      <c r="BZ94" s="246" t="n"/>
      <c r="CA94" s="246" t="n"/>
      <c r="CB94" s="246" t="n"/>
      <c r="CC94" s="246" t="n"/>
      <c r="CD94" s="246" t="n"/>
      <c r="CE94" s="246" t="n"/>
      <c r="CF94" s="246" t="n"/>
      <c r="CG94" s="246" t="n"/>
      <c r="CH94" s="246" t="n"/>
      <c r="CI94" s="246" t="n"/>
      <c r="CJ94" s="246" t="n"/>
      <c r="CK94" s="246" t="n"/>
      <c r="CL94" s="246" t="n"/>
      <c r="CM94" s="246" t="n"/>
      <c r="CN94" s="246" t="n"/>
      <c r="CO94" s="246" t="n"/>
      <c r="CP94" s="246" t="n"/>
      <c r="CQ94" s="246" t="n"/>
      <c r="CR94" s="246" t="n"/>
      <c r="CS94" s="246" t="n"/>
    </row>
    <row r="95" ht="10.5" customHeight="1">
      <c r="B95" s="1061" t="n"/>
      <c r="C95" s="1062" t="n"/>
      <c r="D95" s="1061" t="n"/>
      <c r="G95" s="1062" t="n"/>
      <c r="H95" s="1054" t="n"/>
      <c r="I95" s="1055" t="n"/>
      <c r="J95" s="1055" t="n"/>
      <c r="K95" s="1056" t="n"/>
      <c r="L95" s="1051" t="n"/>
      <c r="M95" s="1052" t="n"/>
      <c r="N95" s="1052" t="n"/>
      <c r="O95" s="1052" t="n"/>
      <c r="P95" s="1052" t="n"/>
      <c r="Q95" s="1052" t="n"/>
      <c r="R95" s="1049" t="n"/>
      <c r="S95" s="1050" t="n"/>
      <c r="T95" s="1054" t="n"/>
      <c r="U95" s="1055" t="n"/>
      <c r="V95" s="1055" t="n"/>
      <c r="W95" s="1052" t="n"/>
      <c r="X95" s="1052" t="n"/>
      <c r="Y95" s="1055" t="n"/>
      <c r="Z95" s="1056" t="n"/>
      <c r="AA95" s="1054" t="n"/>
      <c r="AB95" s="1055" t="n"/>
      <c r="AC95" s="1055" t="n"/>
      <c r="AD95" s="1056" t="n"/>
      <c r="AE95" s="1051" t="n"/>
      <c r="AF95" s="1052" t="n"/>
      <c r="AG95" s="1052" t="n"/>
      <c r="AH95" s="1052" t="n"/>
      <c r="AI95" s="1052" t="n"/>
      <c r="AJ95" s="1049" t="n"/>
      <c r="AK95" s="1050" t="n"/>
      <c r="AL95" s="1054" t="n"/>
      <c r="AM95" s="1055" t="n"/>
      <c r="AN95" s="1055" t="n"/>
      <c r="AO95" s="1056" t="n"/>
      <c r="AP95" s="1051" t="n"/>
      <c r="AQ95" s="1052" t="n"/>
      <c r="AR95" s="1052" t="n"/>
      <c r="AS95" s="1052" t="n"/>
      <c r="AT95" s="1052" t="n"/>
      <c r="AU95" s="1052" t="n"/>
      <c r="AV95" s="1049" t="n"/>
      <c r="AW95" s="1050" t="n"/>
      <c r="AX95" s="246" t="n"/>
      <c r="AY95" s="246" t="n"/>
      <c r="BG95" s="246" t="n"/>
      <c r="BH95" s="246" t="n"/>
      <c r="BI95" s="246" t="n"/>
      <c r="BJ95" s="246" t="n"/>
      <c r="BK95" s="246" t="n"/>
      <c r="BL95" s="246" t="n"/>
      <c r="BM95" s="246" t="n"/>
      <c r="BN95" s="246" t="n"/>
      <c r="BO95" s="246" t="n"/>
      <c r="BP95" s="246" t="n"/>
      <c r="BQ95" s="246" t="n"/>
      <c r="BR95" s="246" t="n"/>
      <c r="BS95" s="246" t="n"/>
      <c r="BT95" s="246" t="n"/>
      <c r="BU95" s="246" t="n"/>
      <c r="BV95" s="246" t="n"/>
      <c r="BW95" s="246" t="n"/>
      <c r="BX95" s="246" t="n"/>
      <c r="BY95" s="246" t="n"/>
      <c r="BZ95" s="246" t="n"/>
      <c r="CA95" s="246" t="n"/>
      <c r="CB95" s="246" t="n"/>
      <c r="CC95" s="246" t="n"/>
      <c r="CD95" s="246" t="n"/>
      <c r="CE95" s="246" t="n"/>
      <c r="CF95" s="246" t="n"/>
      <c r="CG95" s="246" t="n"/>
      <c r="CH95" s="246" t="n"/>
      <c r="CI95" s="246" t="n"/>
      <c r="CJ95" s="246" t="n"/>
      <c r="CK95" s="246" t="n"/>
      <c r="CL95" s="246" t="n"/>
      <c r="CM95" s="246" t="n"/>
      <c r="CN95" s="246" t="n"/>
      <c r="CO95" s="246" t="n"/>
      <c r="CP95" s="246" t="n"/>
      <c r="CQ95" s="246" t="n"/>
      <c r="CR95" s="246" t="n"/>
      <c r="CS95" s="246" t="n"/>
    </row>
    <row r="96" ht="10.5" customHeight="1">
      <c r="B96" s="1061" t="n"/>
      <c r="C96" s="1062" t="n"/>
      <c r="D96" s="1061" t="n"/>
      <c r="G96" s="1062" t="n"/>
      <c r="H96" s="561" t="inlineStr">
        <is>
          <t>支払合計</t>
        </is>
      </c>
      <c r="I96" s="1045" t="n"/>
      <c r="J96" s="1045" t="n"/>
      <c r="K96" s="1046" t="n"/>
      <c r="L96" s="1114">
        <f>AP90+AP94</f>
        <v/>
      </c>
      <c r="M96" s="1042" t="n"/>
      <c r="N96" s="1042" t="n"/>
      <c r="O96" s="1042" t="n"/>
      <c r="P96" s="1042" t="n"/>
      <c r="Q96" s="1042" t="n"/>
      <c r="R96" s="1042" t="n"/>
      <c r="S96" s="1042" t="n"/>
      <c r="T96" s="580" t="inlineStr">
        <is>
          <t>円</t>
        </is>
      </c>
      <c r="U96" s="1040" t="n"/>
      <c r="V96" s="1120" t="inlineStr">
        <is>
          <t>（内訳）</t>
        </is>
      </c>
      <c r="W96" s="1045" t="n"/>
      <c r="X96" s="1045" t="n"/>
      <c r="Y96" s="1121" t="n"/>
      <c r="Z96" s="596" t="inlineStr">
        <is>
          <t>税抜合計</t>
        </is>
      </c>
      <c r="AA96" s="1045" t="n"/>
      <c r="AB96" s="1045" t="n"/>
      <c r="AC96" s="1046" t="n"/>
      <c r="AD96" s="1114">
        <f>L90+L94</f>
        <v/>
      </c>
      <c r="AE96" s="1042" t="n"/>
      <c r="AF96" s="1042" t="n"/>
      <c r="AG96" s="1042" t="n"/>
      <c r="AH96" s="1042" t="n"/>
      <c r="AI96" s="1042" t="n"/>
      <c r="AJ96" s="580" t="inlineStr">
        <is>
          <t>円</t>
        </is>
      </c>
      <c r="AK96" s="1040" t="n"/>
      <c r="AL96" s="561" t="inlineStr">
        <is>
          <t>消費税合計</t>
        </is>
      </c>
      <c r="AM96" s="1045" t="n"/>
      <c r="AN96" s="1045" t="n"/>
      <c r="AO96" s="1046" t="n"/>
      <c r="AP96" s="1114">
        <f>AE90+AE94</f>
        <v/>
      </c>
      <c r="AQ96" s="1042" t="n"/>
      <c r="AR96" s="1042" t="n"/>
      <c r="AS96" s="1042" t="n"/>
      <c r="AT96" s="1042" t="n"/>
      <c r="AU96" s="1042" t="n"/>
      <c r="AV96" s="580" t="inlineStr">
        <is>
          <t>円</t>
        </is>
      </c>
      <c r="AW96" s="1040" t="n"/>
      <c r="AX96" s="246" t="n"/>
      <c r="AY96" s="246" t="n"/>
      <c r="AZ96" s="246" t="n"/>
      <c r="BA96" s="246" t="n"/>
      <c r="BB96" s="246" t="n"/>
      <c r="BC96" s="246" t="n"/>
      <c r="BD96" s="246" t="n"/>
      <c r="BE96" s="246" t="n"/>
      <c r="BF96" s="246" t="n"/>
      <c r="BG96" s="246" t="n"/>
      <c r="BH96" s="246" t="n"/>
      <c r="BI96" s="246" t="n"/>
      <c r="BJ96" s="246" t="n"/>
      <c r="BK96" s="246" t="n"/>
      <c r="BL96" s="246" t="n"/>
      <c r="BM96" s="246" t="n"/>
      <c r="BN96" s="246" t="n"/>
      <c r="BO96" s="246" t="n"/>
      <c r="BP96" s="246" t="n"/>
      <c r="BQ96" s="246" t="n"/>
      <c r="BR96" s="246" t="n"/>
      <c r="BS96" s="246" t="n"/>
      <c r="BT96" s="246" t="n"/>
      <c r="BU96" s="246" t="n"/>
      <c r="BV96" s="246" t="n"/>
      <c r="BW96" s="246" t="n"/>
      <c r="BX96" s="246" t="n"/>
      <c r="BY96" s="246" t="n"/>
      <c r="BZ96" s="246" t="n"/>
      <c r="CA96" s="246" t="n"/>
      <c r="CB96" s="246" t="n"/>
      <c r="CC96" s="246" t="n"/>
      <c r="CD96" s="246" t="n"/>
      <c r="CE96" s="246" t="n"/>
      <c r="CF96" s="246" t="n"/>
      <c r="CG96" s="246" t="n"/>
      <c r="CH96" s="246" t="n"/>
      <c r="CI96" s="246" t="n"/>
      <c r="CJ96" s="246" t="n"/>
      <c r="CK96" s="246" t="n"/>
      <c r="CL96" s="246" t="n"/>
      <c r="CM96" s="246" t="n"/>
      <c r="CN96" s="246" t="n"/>
      <c r="CO96" s="246" t="n"/>
      <c r="CP96" s="246" t="n"/>
      <c r="CQ96" s="246" t="n"/>
      <c r="CR96" s="246" t="n"/>
      <c r="CS96" s="246" t="n"/>
    </row>
    <row r="97" ht="10.5" customHeight="1">
      <c r="B97" s="1061" t="n"/>
      <c r="C97" s="1062" t="n"/>
      <c r="D97" s="1054" t="n"/>
      <c r="E97" s="1055" t="n"/>
      <c r="F97" s="1055" t="n"/>
      <c r="G97" s="1056" t="n"/>
      <c r="H97" s="1054" t="n"/>
      <c r="I97" s="1055" t="n"/>
      <c r="J97" s="1055" t="n"/>
      <c r="K97" s="1056" t="n"/>
      <c r="L97" s="1051" t="n"/>
      <c r="M97" s="1052" t="n"/>
      <c r="N97" s="1052" t="n"/>
      <c r="O97" s="1052" t="n"/>
      <c r="P97" s="1052" t="n"/>
      <c r="Q97" s="1052" t="n"/>
      <c r="R97" s="1052" t="n"/>
      <c r="S97" s="1052" t="n"/>
      <c r="T97" s="1049" t="n"/>
      <c r="U97" s="1050" t="n"/>
      <c r="V97" s="1122" t="n"/>
      <c r="W97" s="1123" t="n"/>
      <c r="X97" s="1123" t="n"/>
      <c r="Y97" s="1124" t="n"/>
      <c r="Z97" s="1055" t="n"/>
      <c r="AA97" s="1055" t="n"/>
      <c r="AB97" s="1055" t="n"/>
      <c r="AC97" s="1056" t="n"/>
      <c r="AD97" s="1051" t="n"/>
      <c r="AE97" s="1052" t="n"/>
      <c r="AF97" s="1052" t="n"/>
      <c r="AG97" s="1052" t="n"/>
      <c r="AH97" s="1052" t="n"/>
      <c r="AI97" s="1052" t="n"/>
      <c r="AJ97" s="1049" t="n"/>
      <c r="AK97" s="1050" t="n"/>
      <c r="AL97" s="1054" t="n"/>
      <c r="AM97" s="1055" t="n"/>
      <c r="AN97" s="1055" t="n"/>
      <c r="AO97" s="1056" t="n"/>
      <c r="AP97" s="1051" t="n"/>
      <c r="AQ97" s="1052" t="n"/>
      <c r="AR97" s="1052" t="n"/>
      <c r="AS97" s="1052" t="n"/>
      <c r="AT97" s="1052" t="n"/>
      <c r="AU97" s="1052" t="n"/>
      <c r="AV97" s="1049" t="n"/>
      <c r="AW97" s="1050" t="n"/>
      <c r="AX97" s="246" t="n"/>
      <c r="AY97" s="246" t="n"/>
      <c r="BK97" s="246" t="n"/>
      <c r="BL97" s="246" t="n"/>
      <c r="BM97" s="246" t="n"/>
      <c r="BN97" s="246" t="n"/>
      <c r="BO97" s="246" t="n"/>
      <c r="BP97" s="246" t="n"/>
      <c r="BQ97" s="246" t="n"/>
      <c r="BR97" s="246" t="n"/>
      <c r="BS97" s="246" t="n"/>
      <c r="BT97" s="246" t="n"/>
      <c r="BU97" s="246" t="n"/>
      <c r="BV97" s="246" t="n"/>
      <c r="BW97" s="246" t="n"/>
      <c r="BX97" s="246" t="n"/>
      <c r="BY97" s="246" t="n"/>
      <c r="BZ97" s="246" t="n"/>
      <c r="CA97" s="246" t="n"/>
      <c r="CB97" s="246" t="n"/>
      <c r="CC97" s="246" t="n"/>
      <c r="CD97" s="246" t="n"/>
      <c r="CE97" s="246" t="n"/>
      <c r="CF97" s="246" t="n"/>
      <c r="CG97" s="246" t="n"/>
      <c r="CH97" s="246" t="n"/>
      <c r="CI97" s="246" t="n"/>
      <c r="CJ97" s="246" t="n"/>
      <c r="CK97" s="246" t="n"/>
      <c r="CL97" s="246" t="n"/>
      <c r="CM97" s="246" t="n"/>
      <c r="CN97" s="246" t="n"/>
      <c r="CO97" s="246" t="n"/>
      <c r="CP97" s="246" t="n"/>
      <c r="CQ97" s="246" t="n"/>
      <c r="CR97" s="246" t="n"/>
      <c r="CS97" s="246" t="n"/>
    </row>
    <row r="98" ht="10.5" customHeight="1">
      <c r="B98" s="1125" t="inlineStr">
        <is>
          <t>仲介者</t>
        </is>
      </c>
      <c r="C98" s="1045" t="n"/>
      <c r="D98" s="561" t="inlineStr">
        <is>
          <t>商  号</t>
        </is>
      </c>
      <c r="E98" s="1045" t="n"/>
      <c r="F98" s="1045" t="n"/>
      <c r="G98" s="1046" t="n"/>
      <c r="H98" s="560" t="inlineStr">
        <is>
          <t>株式会社TSUKUBITO</t>
        </is>
      </c>
      <c r="I98" s="1042" t="n"/>
      <c r="J98" s="1042" t="n"/>
      <c r="K98" s="1042" t="n"/>
      <c r="L98" s="1042" t="n"/>
      <c r="M98" s="1042" t="n"/>
      <c r="N98" s="1042" t="n"/>
      <c r="O98" s="1042" t="n"/>
      <c r="P98" s="1042" t="n"/>
      <c r="Q98" s="1042" t="n"/>
      <c r="R98" s="1042" t="n"/>
      <c r="S98" s="1042" t="n"/>
      <c r="T98" s="1042" t="n"/>
      <c r="U98" s="1042" t="n"/>
      <c r="V98" s="1042" t="n"/>
      <c r="W98" s="1042" t="n"/>
      <c r="X98" s="1042" t="n"/>
      <c r="Y98" s="1043" t="n"/>
      <c r="Z98" s="561" t="inlineStr">
        <is>
          <t>住  所</t>
        </is>
      </c>
      <c r="AA98" s="1045" t="n"/>
      <c r="AB98" s="1045" t="n"/>
      <c r="AC98" s="1046" t="n"/>
      <c r="AD98" s="560" t="inlineStr">
        <is>
          <t>東京都葛飾区高砂5-41-3</t>
        </is>
      </c>
      <c r="AE98" s="1042" t="n"/>
      <c r="AF98" s="1042" t="n"/>
      <c r="AG98" s="1042" t="n"/>
      <c r="AH98" s="1042" t="n"/>
      <c r="AI98" s="1042" t="n"/>
      <c r="AJ98" s="1042" t="n"/>
      <c r="AK98" s="1042" t="n"/>
      <c r="AL98" s="1042" t="n"/>
      <c r="AM98" s="1042" t="n"/>
      <c r="AN98" s="1042" t="n"/>
      <c r="AO98" s="1042" t="n"/>
      <c r="AP98" s="1042" t="n"/>
      <c r="AQ98" s="1042" t="n"/>
      <c r="AR98" s="1042" t="n"/>
      <c r="AS98" s="1042" t="n"/>
      <c r="AT98" s="1042" t="n"/>
      <c r="AU98" s="1042" t="n"/>
      <c r="AV98" s="1042" t="n"/>
      <c r="AW98" s="1043" t="n"/>
      <c r="AX98" s="246" t="n"/>
      <c r="AY98" s="246" t="n"/>
    </row>
    <row r="99" ht="10.5" customHeight="1">
      <c r="B99" s="1061" t="n"/>
      <c r="D99" s="1054" t="n"/>
      <c r="E99" s="1055" t="n"/>
      <c r="F99" s="1055" t="n"/>
      <c r="G99" s="1056" t="n"/>
      <c r="H99" s="1051" t="n"/>
      <c r="I99" s="1052" t="n"/>
      <c r="J99" s="1052" t="n"/>
      <c r="K99" s="1052" t="n"/>
      <c r="L99" s="1052" t="n"/>
      <c r="M99" s="1052" t="n"/>
      <c r="N99" s="1052" t="n"/>
      <c r="O99" s="1052" t="n"/>
      <c r="P99" s="1052" t="n"/>
      <c r="Q99" s="1052" t="n"/>
      <c r="R99" s="1052" t="n"/>
      <c r="S99" s="1052" t="n"/>
      <c r="T99" s="1052" t="n"/>
      <c r="U99" s="1052" t="n"/>
      <c r="V99" s="1052" t="n"/>
      <c r="W99" s="1052" t="n"/>
      <c r="X99" s="1052" t="n"/>
      <c r="Y99" s="1053" t="n"/>
      <c r="Z99" s="1054" t="n"/>
      <c r="AA99" s="1055" t="n"/>
      <c r="AB99" s="1055" t="n"/>
      <c r="AC99" s="1056" t="n"/>
      <c r="AD99" s="1051" t="n"/>
      <c r="AE99" s="1052" t="n"/>
      <c r="AF99" s="1052" t="n"/>
      <c r="AG99" s="1052" t="n"/>
      <c r="AH99" s="1052" t="n"/>
      <c r="AI99" s="1052" t="n"/>
      <c r="AJ99" s="1052" t="n"/>
      <c r="AK99" s="1052" t="n"/>
      <c r="AL99" s="1052" t="n"/>
      <c r="AM99" s="1052" t="n"/>
      <c r="AN99" s="1052" t="n"/>
      <c r="AO99" s="1052" t="n"/>
      <c r="AP99" s="1052" t="n"/>
      <c r="AQ99" s="1052" t="n"/>
      <c r="AR99" s="1052" t="n"/>
      <c r="AS99" s="1052" t="n"/>
      <c r="AT99" s="1052" t="n"/>
      <c r="AU99" s="1052" t="n"/>
      <c r="AV99" s="1052" t="n"/>
      <c r="AW99" s="1053" t="n"/>
      <c r="AX99" s="246" t="n"/>
      <c r="AY99" s="246" t="n"/>
      <c r="AZ99" s="246" t="n"/>
    </row>
    <row r="100" ht="10.5" customHeight="1">
      <c r="B100" s="1061" t="n"/>
      <c r="D100" s="561" t="inlineStr">
        <is>
          <t>商  号</t>
        </is>
      </c>
      <c r="E100" s="1045" t="n"/>
      <c r="F100" s="1045" t="n"/>
      <c r="G100" s="1046" t="n"/>
      <c r="H100" s="560" t="n"/>
      <c r="I100" s="1042" t="n"/>
      <c r="J100" s="1042" t="n"/>
      <c r="K100" s="1042" t="n"/>
      <c r="L100" s="1042" t="n"/>
      <c r="M100" s="1042" t="n"/>
      <c r="N100" s="1042" t="n"/>
      <c r="O100" s="1042" t="n"/>
      <c r="P100" s="1042" t="n"/>
      <c r="Q100" s="1042" t="n"/>
      <c r="R100" s="1042" t="n"/>
      <c r="S100" s="1042" t="n"/>
      <c r="T100" s="1042" t="n"/>
      <c r="U100" s="1042" t="n"/>
      <c r="V100" s="1042" t="n"/>
      <c r="W100" s="1042" t="n"/>
      <c r="X100" s="1042" t="n"/>
      <c r="Y100" s="1043" t="n"/>
      <c r="Z100" s="561" t="inlineStr">
        <is>
          <t>住  所</t>
        </is>
      </c>
      <c r="AA100" s="1045" t="n"/>
      <c r="AB100" s="1045" t="n"/>
      <c r="AC100" s="1046" t="n"/>
      <c r="AD100" s="560" t="n"/>
      <c r="AE100" s="1042" t="n"/>
      <c r="AF100" s="1042" t="n"/>
      <c r="AG100" s="1042" t="n"/>
      <c r="AH100" s="1042" t="n"/>
      <c r="AI100" s="1042" t="n"/>
      <c r="AJ100" s="1042" t="n"/>
      <c r="AK100" s="1042" t="n"/>
      <c r="AL100" s="1042" t="n"/>
      <c r="AM100" s="1042" t="n"/>
      <c r="AN100" s="1042" t="n"/>
      <c r="AO100" s="1042" t="n"/>
      <c r="AP100" s="1042" t="n"/>
      <c r="AQ100" s="1042" t="n"/>
      <c r="AR100" s="1042" t="n"/>
      <c r="AS100" s="1042" t="n"/>
      <c r="AT100" s="1042" t="n"/>
      <c r="AU100" s="1042" t="n"/>
      <c r="AV100" s="1042" t="n"/>
      <c r="AW100" s="1043" t="n"/>
      <c r="AX100" s="246" t="n"/>
      <c r="AY100" s="246" t="n"/>
      <c r="AZ100" s="246" t="n"/>
    </row>
    <row r="101" ht="10.5" customHeight="1">
      <c r="B101" s="1054" t="n"/>
      <c r="C101" s="1055" t="n"/>
      <c r="D101" s="1054" t="n"/>
      <c r="E101" s="1055" t="n"/>
      <c r="F101" s="1055" t="n"/>
      <c r="G101" s="1056" t="n"/>
      <c r="H101" s="1051" t="n"/>
      <c r="I101" s="1052" t="n"/>
      <c r="J101" s="1052" t="n"/>
      <c r="K101" s="1052" t="n"/>
      <c r="L101" s="1052" t="n"/>
      <c r="M101" s="1052" t="n"/>
      <c r="N101" s="1052" t="n"/>
      <c r="O101" s="1052" t="n"/>
      <c r="P101" s="1052" t="n"/>
      <c r="Q101" s="1052" t="n"/>
      <c r="R101" s="1052" t="n"/>
      <c r="S101" s="1052" t="n"/>
      <c r="T101" s="1052" t="n"/>
      <c r="U101" s="1052" t="n"/>
      <c r="V101" s="1052" t="n"/>
      <c r="W101" s="1052" t="n"/>
      <c r="X101" s="1052" t="n"/>
      <c r="Y101" s="1053" t="n"/>
      <c r="Z101" s="1054" t="n"/>
      <c r="AA101" s="1055" t="n"/>
      <c r="AB101" s="1055" t="n"/>
      <c r="AC101" s="1056" t="n"/>
      <c r="AD101" s="1051" t="n"/>
      <c r="AE101" s="1052" t="n"/>
      <c r="AF101" s="1052" t="n"/>
      <c r="AG101" s="1052" t="n"/>
      <c r="AH101" s="1052" t="n"/>
      <c r="AI101" s="1052" t="n"/>
      <c r="AJ101" s="1052" t="n"/>
      <c r="AK101" s="1052" t="n"/>
      <c r="AL101" s="1052" t="n"/>
      <c r="AM101" s="1052" t="n"/>
      <c r="AN101" s="1052" t="n"/>
      <c r="AO101" s="1052" t="n"/>
      <c r="AP101" s="1052" t="n"/>
      <c r="AQ101" s="1052" t="n"/>
      <c r="AR101" s="1052" t="n"/>
      <c r="AS101" s="1052" t="n"/>
      <c r="AT101" s="1052" t="n"/>
      <c r="AU101" s="1052" t="n"/>
      <c r="AV101" s="1052" t="n"/>
      <c r="AW101" s="1053" t="n"/>
      <c r="AX101" s="246" t="n"/>
      <c r="AY101" s="246" t="n"/>
      <c r="AZ101" s="246" t="n"/>
      <c r="BA101" s="246" t="n"/>
      <c r="BB101" s="246" t="n"/>
      <c r="BC101" s="246" t="n"/>
      <c r="BD101" s="246" t="n"/>
      <c r="BE101" s="246" t="n"/>
      <c r="BF101" s="246" t="n"/>
      <c r="BG101" s="246" t="n"/>
      <c r="BH101" s="246" t="n"/>
      <c r="BI101" s="246" t="n"/>
      <c r="BJ101" s="246" t="n"/>
      <c r="BK101" s="246" t="n"/>
      <c r="BL101" s="246" t="n"/>
      <c r="BM101" s="246" t="n"/>
      <c r="BN101" s="246" t="n"/>
      <c r="BO101" s="246" t="n"/>
      <c r="BP101" s="246" t="n"/>
      <c r="BQ101" s="246" t="n"/>
      <c r="BR101" s="246" t="n"/>
      <c r="BS101" s="246" t="n"/>
      <c r="BT101" s="246" t="n"/>
      <c r="BU101" s="246" t="n"/>
      <c r="BV101" s="246" t="n"/>
      <c r="BW101" s="246" t="n"/>
      <c r="BX101" s="246" t="n"/>
      <c r="BY101" s="246" t="n"/>
      <c r="BZ101" s="246" t="n"/>
      <c r="CA101" s="246" t="n"/>
      <c r="CB101" s="246" t="n"/>
      <c r="CC101" s="246" t="n"/>
      <c r="CD101" s="246" t="n"/>
      <c r="CE101" s="246" t="n"/>
      <c r="CF101" s="246" t="n"/>
      <c r="CG101" s="246" t="n"/>
      <c r="CH101" s="246" t="n"/>
      <c r="CI101" s="246" t="n"/>
      <c r="CJ101" s="246" t="n"/>
      <c r="CK101" s="246" t="n"/>
    </row>
    <row r="102" ht="10.5" customHeight="1">
      <c r="B102" s="246" t="n"/>
      <c r="C102" s="246" t="n"/>
      <c r="D102" s="246" t="n"/>
      <c r="E102" s="246" t="n"/>
      <c r="F102" s="246" t="n"/>
      <c r="G102" s="246" t="n"/>
      <c r="H102" s="246" t="n"/>
      <c r="I102" s="246" t="n"/>
      <c r="J102" s="246" t="n"/>
      <c r="K102" s="246" t="n"/>
      <c r="L102" s="246" t="n"/>
      <c r="M102" s="246" t="n"/>
      <c r="N102" s="246" t="n"/>
      <c r="O102" s="246" t="n"/>
      <c r="P102" s="246" t="n"/>
      <c r="Q102" s="246" t="n"/>
      <c r="R102" s="246" t="n"/>
      <c r="S102" s="246" t="n"/>
      <c r="AP102" s="280" t="n"/>
      <c r="AQ102" s="280" t="n"/>
      <c r="AR102" s="280" t="n"/>
      <c r="AS102" s="280" t="n"/>
      <c r="AT102" s="280" t="n"/>
      <c r="AU102" s="280" t="n"/>
      <c r="AV102" s="280" t="n"/>
      <c r="AW102" s="280" t="n"/>
      <c r="AX102" s="246" t="n"/>
      <c r="AY102" s="246" t="n"/>
      <c r="AZ102" s="246" t="n"/>
      <c r="BA102" s="246" t="n"/>
      <c r="BB102" s="246" t="n"/>
      <c r="BC102" s="246" t="n"/>
      <c r="BD102" s="246" t="n"/>
      <c r="BE102" s="246" t="n"/>
      <c r="BF102" s="246" t="n"/>
      <c r="BG102" s="246" t="n"/>
      <c r="BH102" s="246" t="n"/>
      <c r="BI102" s="246" t="n"/>
      <c r="BJ102" s="246" t="n"/>
      <c r="BK102" s="246" t="n"/>
      <c r="BL102" s="246" t="n"/>
      <c r="BM102" s="246" t="n"/>
      <c r="BN102" s="246" t="n"/>
      <c r="BO102" s="246" t="n"/>
      <c r="BP102" s="246" t="n"/>
      <c r="BQ102" s="246" t="n"/>
      <c r="BR102" s="246" t="n"/>
      <c r="BS102" s="246" t="n"/>
      <c r="BT102" s="246" t="n"/>
      <c r="BU102" s="246" t="n"/>
      <c r="BV102" s="246" t="n"/>
      <c r="BW102" s="246" t="n"/>
      <c r="BX102" s="246" t="n"/>
      <c r="BY102" s="246" t="n"/>
      <c r="BZ102" s="246" t="n"/>
      <c r="CA102" s="246" t="n"/>
      <c r="CB102" s="246" t="n"/>
      <c r="CC102" s="246" t="n"/>
      <c r="CD102" s="246" t="n"/>
      <c r="CE102" s="246" t="n"/>
      <c r="CF102" s="246" t="n"/>
      <c r="CG102" s="246" t="n"/>
      <c r="CH102" s="246" t="n"/>
      <c r="CI102" s="246" t="n"/>
      <c r="CJ102" s="246" t="n"/>
    </row>
    <row r="103" ht="10.5" customHeight="1">
      <c r="B103" s="561" t="inlineStr">
        <is>
          <t>備  考</t>
        </is>
      </c>
      <c r="C103" s="1045" t="n"/>
      <c r="D103" s="1045" t="n"/>
      <c r="E103" s="1045" t="n"/>
      <c r="F103" s="1045" t="n"/>
      <c r="G103" s="1046" t="n"/>
      <c r="H103" s="1126" t="n"/>
      <c r="I103" s="1042" t="n"/>
      <c r="J103" s="1042" t="n"/>
      <c r="K103" s="1042" t="n"/>
      <c r="L103" s="1042" t="n"/>
      <c r="M103" s="1042" t="n"/>
      <c r="N103" s="1042" t="n"/>
      <c r="O103" s="1042" t="n"/>
      <c r="P103" s="1042" t="n"/>
      <c r="Q103" s="1042" t="n"/>
      <c r="R103" s="1042" t="n"/>
      <c r="S103" s="1042" t="n"/>
      <c r="T103" s="1042" t="n"/>
      <c r="U103" s="1042" t="n"/>
      <c r="V103" s="1042" t="n"/>
      <c r="W103" s="1042" t="n"/>
      <c r="X103" s="1042" t="n"/>
      <c r="Y103" s="1042" t="n"/>
      <c r="Z103" s="1042" t="n"/>
      <c r="AA103" s="1042" t="n"/>
      <c r="AB103" s="1042" t="n"/>
      <c r="AC103" s="1042" t="n"/>
      <c r="AD103" s="1042" t="n"/>
      <c r="AE103" s="1042" t="n"/>
      <c r="AF103" s="1042" t="n"/>
      <c r="AG103" s="1042" t="n"/>
      <c r="AH103" s="1042" t="n"/>
      <c r="AI103" s="1042" t="n"/>
      <c r="AJ103" s="1042" t="n"/>
      <c r="AK103" s="1042" t="n"/>
      <c r="AL103" s="1042" t="n"/>
      <c r="AM103" s="1042" t="n"/>
      <c r="AN103" s="1042" t="n"/>
      <c r="AO103" s="1042" t="n"/>
      <c r="AP103" s="1042" t="n"/>
      <c r="AQ103" s="1042" t="n"/>
      <c r="AR103" s="1042" t="n"/>
      <c r="AS103" s="1042" t="n"/>
      <c r="AT103" s="1042" t="n"/>
      <c r="AU103" s="1042" t="n"/>
      <c r="AV103" s="1042" t="n"/>
      <c r="AW103" s="1043" t="n"/>
      <c r="AX103" s="246" t="n"/>
      <c r="AY103" s="246" t="n"/>
      <c r="AZ103" s="246" t="n"/>
    </row>
    <row r="104" ht="10.5" customHeight="1">
      <c r="B104" s="1061" t="n"/>
      <c r="G104" s="1062" t="n"/>
      <c r="H104" s="1082" t="n"/>
      <c r="I104" s="939" t="n"/>
      <c r="J104" s="939" t="n"/>
      <c r="K104" s="939" t="n"/>
      <c r="L104" s="939" t="n"/>
      <c r="M104" s="939" t="n"/>
      <c r="N104" s="939" t="n"/>
      <c r="O104" s="939" t="n"/>
      <c r="P104" s="939" t="n"/>
      <c r="Q104" s="939" t="n"/>
      <c r="R104" s="939" t="n"/>
      <c r="S104" s="939" t="n"/>
      <c r="T104" s="939" t="n"/>
      <c r="U104" s="939" t="n"/>
      <c r="V104" s="939" t="n"/>
      <c r="W104" s="939" t="n"/>
      <c r="X104" s="939" t="n"/>
      <c r="Y104" s="939" t="n"/>
      <c r="Z104" s="939" t="n"/>
      <c r="AA104" s="939" t="n"/>
      <c r="AB104" s="939" t="n"/>
      <c r="AC104" s="939" t="n"/>
      <c r="AD104" s="939" t="n"/>
      <c r="AE104" s="939" t="n"/>
      <c r="AF104" s="939" t="n"/>
      <c r="AG104" s="939" t="n"/>
      <c r="AH104" s="939" t="n"/>
      <c r="AI104" s="939" t="n"/>
      <c r="AJ104" s="939" t="n"/>
      <c r="AK104" s="939" t="n"/>
      <c r="AL104" s="939" t="n"/>
      <c r="AM104" s="939" t="n"/>
      <c r="AN104" s="939" t="n"/>
      <c r="AO104" s="939" t="n"/>
      <c r="AP104" s="939" t="n"/>
      <c r="AQ104" s="939" t="n"/>
      <c r="AR104" s="939" t="n"/>
      <c r="AS104" s="939" t="n"/>
      <c r="AT104" s="939" t="n"/>
      <c r="AU104" s="939" t="n"/>
      <c r="AV104" s="939" t="n"/>
      <c r="AW104" s="1060" t="n"/>
      <c r="AX104" s="246" t="n"/>
      <c r="AY104" s="246" t="n"/>
      <c r="AZ104" s="246" t="n"/>
    </row>
    <row r="105" ht="10.5" customHeight="1">
      <c r="B105" s="1061" t="n"/>
      <c r="G105" s="1062" t="n"/>
      <c r="H105" s="1082" t="n"/>
      <c r="I105" s="939" t="n"/>
      <c r="J105" s="939" t="n"/>
      <c r="K105" s="939" t="n"/>
      <c r="L105" s="939" t="n"/>
      <c r="M105" s="939" t="n"/>
      <c r="N105" s="939" t="n"/>
      <c r="O105" s="939" t="n"/>
      <c r="P105" s="939" t="n"/>
      <c r="Q105" s="939" t="n"/>
      <c r="R105" s="939" t="n"/>
      <c r="S105" s="939" t="n"/>
      <c r="T105" s="939" t="n"/>
      <c r="U105" s="939" t="n"/>
      <c r="V105" s="939" t="n"/>
      <c r="W105" s="939" t="n"/>
      <c r="X105" s="939" t="n"/>
      <c r="Y105" s="939" t="n"/>
      <c r="Z105" s="939" t="n"/>
      <c r="AA105" s="939" t="n"/>
      <c r="AB105" s="939" t="n"/>
      <c r="AC105" s="939" t="n"/>
      <c r="AD105" s="939" t="n"/>
      <c r="AE105" s="939" t="n"/>
      <c r="AF105" s="939" t="n"/>
      <c r="AG105" s="939" t="n"/>
      <c r="AH105" s="939" t="n"/>
      <c r="AI105" s="939" t="n"/>
      <c r="AJ105" s="939" t="n"/>
      <c r="AK105" s="939" t="n"/>
      <c r="AL105" s="939" t="n"/>
      <c r="AM105" s="939" t="n"/>
      <c r="AN105" s="939" t="n"/>
      <c r="AO105" s="939" t="n"/>
      <c r="AP105" s="939" t="n"/>
      <c r="AQ105" s="939" t="n"/>
      <c r="AR105" s="939" t="n"/>
      <c r="AS105" s="939" t="n"/>
      <c r="AT105" s="939" t="n"/>
      <c r="AU105" s="939" t="n"/>
      <c r="AV105" s="939" t="n"/>
      <c r="AW105" s="1060" t="n"/>
      <c r="AX105" s="246" t="n"/>
      <c r="AY105" s="246" t="n"/>
      <c r="AZ105" s="246" t="n"/>
    </row>
    <row r="106" ht="10.5" customHeight="1">
      <c r="B106" s="1061" t="n"/>
      <c r="G106" s="1062" t="n"/>
      <c r="H106" s="1082" t="n"/>
      <c r="I106" s="939" t="n"/>
      <c r="J106" s="939" t="n"/>
      <c r="K106" s="939" t="n"/>
      <c r="L106" s="939" t="n"/>
      <c r="M106" s="939" t="n"/>
      <c r="N106" s="939" t="n"/>
      <c r="O106" s="939" t="n"/>
      <c r="P106" s="939" t="n"/>
      <c r="Q106" s="939" t="n"/>
      <c r="R106" s="939" t="n"/>
      <c r="S106" s="939" t="n"/>
      <c r="T106" s="939" t="n"/>
      <c r="U106" s="939" t="n"/>
      <c r="V106" s="939" t="n"/>
      <c r="W106" s="939" t="n"/>
      <c r="X106" s="939" t="n"/>
      <c r="Y106" s="939" t="n"/>
      <c r="Z106" s="939" t="n"/>
      <c r="AA106" s="939" t="n"/>
      <c r="AB106" s="939" t="n"/>
      <c r="AC106" s="939" t="n"/>
      <c r="AD106" s="939" t="n"/>
      <c r="AE106" s="939" t="n"/>
      <c r="AF106" s="939" t="n"/>
      <c r="AG106" s="939" t="n"/>
      <c r="AH106" s="939" t="n"/>
      <c r="AI106" s="939" t="n"/>
      <c r="AJ106" s="939" t="n"/>
      <c r="AK106" s="939" t="n"/>
      <c r="AL106" s="939" t="n"/>
      <c r="AM106" s="939" t="n"/>
      <c r="AN106" s="939" t="n"/>
      <c r="AO106" s="939" t="n"/>
      <c r="AP106" s="939" t="n"/>
      <c r="AQ106" s="939" t="n"/>
      <c r="AR106" s="939" t="n"/>
      <c r="AS106" s="939" t="n"/>
      <c r="AT106" s="939" t="n"/>
      <c r="AU106" s="939" t="n"/>
      <c r="AV106" s="939" t="n"/>
      <c r="AW106" s="1060" t="n"/>
      <c r="AX106" s="246" t="n"/>
      <c r="AY106" s="246" t="n"/>
    </row>
    <row r="107" ht="10.5" customHeight="1">
      <c r="B107" s="1054" t="n"/>
      <c r="C107" s="1055" t="n"/>
      <c r="D107" s="1055" t="n"/>
      <c r="E107" s="1055" t="n"/>
      <c r="F107" s="1055" t="n"/>
      <c r="G107" s="1056" t="n"/>
      <c r="H107" s="1051" t="n"/>
      <c r="I107" s="1052" t="n"/>
      <c r="J107" s="1052" t="n"/>
      <c r="K107" s="1052" t="n"/>
      <c r="L107" s="1052" t="n"/>
      <c r="M107" s="1052" t="n"/>
      <c r="N107" s="1052" t="n"/>
      <c r="O107" s="1052" t="n"/>
      <c r="P107" s="1052" t="n"/>
      <c r="Q107" s="1052" t="n"/>
      <c r="R107" s="1052" t="n"/>
      <c r="S107" s="1052" t="n"/>
      <c r="T107" s="1052" t="n"/>
      <c r="U107" s="1052" t="n"/>
      <c r="V107" s="1052" t="n"/>
      <c r="W107" s="1052" t="n"/>
      <c r="X107" s="1052" t="n"/>
      <c r="Y107" s="1052" t="n"/>
      <c r="Z107" s="1052" t="n"/>
      <c r="AA107" s="1052" t="n"/>
      <c r="AB107" s="1052" t="n"/>
      <c r="AC107" s="1052" t="n"/>
      <c r="AD107" s="1052" t="n"/>
      <c r="AE107" s="1052" t="n"/>
      <c r="AF107" s="1052" t="n"/>
      <c r="AG107" s="1052" t="n"/>
      <c r="AH107" s="1052" t="n"/>
      <c r="AI107" s="1052" t="n"/>
      <c r="AJ107" s="1052" t="n"/>
      <c r="AK107" s="1052" t="n"/>
      <c r="AL107" s="1052" t="n"/>
      <c r="AM107" s="1052" t="n"/>
      <c r="AN107" s="1052" t="n"/>
      <c r="AO107" s="1052" t="n"/>
      <c r="AP107" s="1052" t="n"/>
      <c r="AQ107" s="1052" t="n"/>
      <c r="AR107" s="1052" t="n"/>
      <c r="AS107" s="1052" t="n"/>
      <c r="AT107" s="1052" t="n"/>
      <c r="AU107" s="1052" t="n"/>
      <c r="AV107" s="1052" t="n"/>
      <c r="AW107" s="1053" t="n"/>
      <c r="AX107" s="246" t="n"/>
      <c r="AY107" s="246" t="n"/>
    </row>
    <row r="108" ht="10.5" customHeight="1">
      <c r="B108" s="246" t="n"/>
      <c r="C108" s="246" t="n"/>
      <c r="D108" s="246" t="n"/>
      <c r="E108" s="246" t="n"/>
      <c r="F108" s="246" t="n"/>
      <c r="G108" s="246" t="n"/>
      <c r="H108" s="246" t="n"/>
      <c r="I108" s="246" t="n"/>
      <c r="J108" s="246" t="n"/>
      <c r="K108" s="246" t="n"/>
      <c r="L108" s="246" t="n"/>
      <c r="M108" s="246" t="n"/>
      <c r="N108" s="246" t="n"/>
      <c r="O108" s="246" t="n"/>
      <c r="P108" s="246" t="n"/>
      <c r="Q108" s="246" t="n"/>
      <c r="R108" s="246" t="n"/>
      <c r="S108" s="246" t="n"/>
      <c r="T108" s="246" t="n"/>
      <c r="U108" s="246" t="n"/>
      <c r="V108" s="246" t="n"/>
      <c r="W108" s="246" t="n"/>
      <c r="X108" s="246" t="n"/>
      <c r="Y108" s="246" t="n"/>
      <c r="Z108" s="246" t="n"/>
      <c r="AA108" s="246" t="n"/>
      <c r="AB108" s="246" t="n"/>
      <c r="AC108" s="246" t="n"/>
      <c r="AD108" s="246" t="n"/>
      <c r="AE108" s="246" t="n"/>
      <c r="AF108" s="246" t="n"/>
      <c r="AG108" s="246" t="n"/>
      <c r="AH108" s="246" t="n"/>
      <c r="AI108" s="246" t="n"/>
      <c r="AJ108" s="246" t="n"/>
      <c r="AK108" s="246" t="n"/>
      <c r="AL108" s="246" t="n"/>
      <c r="AM108" s="246" t="n"/>
      <c r="AN108" s="246" t="n"/>
      <c r="AO108" s="246" t="n"/>
      <c r="AP108" s="246" t="n"/>
      <c r="AQ108" s="246" t="n"/>
      <c r="AR108" s="246" t="n"/>
      <c r="AS108" s="246" t="n"/>
      <c r="AT108" s="246" t="n"/>
      <c r="AU108" s="246" t="n"/>
      <c r="AV108" s="246" t="n"/>
      <c r="AW108" s="246" t="n"/>
    </row>
    <row r="109" ht="13.5" customHeight="1">
      <c r="B109" s="246" t="n"/>
      <c r="C109" s="246" t="n"/>
      <c r="D109" s="246" t="n"/>
      <c r="E109" s="246" t="n"/>
      <c r="F109" s="246" t="n"/>
      <c r="G109" s="246" t="n"/>
      <c r="H109" s="246" t="n"/>
      <c r="I109" s="246" t="n"/>
      <c r="J109" s="246" t="n"/>
      <c r="K109" s="246" t="n"/>
      <c r="L109" s="246" t="n"/>
      <c r="M109" s="246" t="n"/>
      <c r="N109" s="246" t="n"/>
      <c r="O109" s="246" t="n"/>
      <c r="P109" s="246" t="n"/>
      <c r="Q109" s="246" t="n"/>
      <c r="R109" s="246" t="n"/>
      <c r="S109" s="246" t="n"/>
      <c r="T109" s="246" t="n"/>
      <c r="U109" s="246" t="n"/>
      <c r="V109" s="246" t="n"/>
      <c r="W109" s="246" t="n"/>
      <c r="X109" s="246" t="n"/>
      <c r="Y109" s="246" t="n"/>
      <c r="Z109" s="246" t="n"/>
      <c r="AA109" s="246" t="n"/>
      <c r="AB109" s="246" t="n"/>
      <c r="AC109" s="246" t="n"/>
      <c r="AD109" s="246" t="n"/>
      <c r="AE109" s="246" t="n"/>
      <c r="AF109" s="246" t="n"/>
      <c r="AG109" s="246" t="n"/>
      <c r="AH109" s="246" t="n"/>
      <c r="AI109" s="246" t="n"/>
      <c r="AJ109" s="246" t="n"/>
      <c r="AK109" s="246" t="n"/>
      <c r="AL109" s="246" t="n"/>
      <c r="AM109" s="246" t="n"/>
      <c r="AN109" s="246" t="n"/>
      <c r="AO109" s="246" t="n"/>
      <c r="AP109" s="246" t="n"/>
      <c r="AQ109" s="246" t="n"/>
      <c r="AR109" s="246" t="n"/>
      <c r="AS109" s="246" t="n"/>
      <c r="AT109" s="246" t="n"/>
      <c r="AU109" s="246" t="n"/>
      <c r="AV109" s="246" t="n"/>
      <c r="AW109" s="246" t="n"/>
    </row>
    <row r="110" ht="13.5" customHeight="1">
      <c r="B110" s="246" t="n"/>
      <c r="C110" s="246" t="n"/>
      <c r="D110" s="246" t="n"/>
      <c r="E110" s="246" t="n"/>
      <c r="F110" s="246" t="n"/>
      <c r="G110" s="246" t="n"/>
      <c r="H110" s="246" t="n"/>
      <c r="I110" s="246" t="n"/>
      <c r="J110" s="246" t="n"/>
      <c r="K110" s="246" t="n"/>
      <c r="L110" s="246" t="n"/>
      <c r="M110" s="246" t="n"/>
      <c r="N110" s="246" t="n"/>
      <c r="O110" s="246" t="n"/>
      <c r="P110" s="246" t="n"/>
      <c r="Q110" s="246" t="n"/>
      <c r="R110" s="246" t="n"/>
      <c r="S110" s="246" t="n"/>
      <c r="T110" s="246" t="n"/>
      <c r="U110" s="246" t="n"/>
      <c r="V110" s="246" t="n"/>
      <c r="W110" s="246" t="n"/>
      <c r="X110" s="246" t="n"/>
      <c r="Y110" s="246" t="n"/>
      <c r="Z110" s="246" t="n"/>
      <c r="AA110" s="246" t="n"/>
      <c r="AB110" s="246" t="n"/>
      <c r="AC110" s="246" t="n"/>
      <c r="AD110" s="246" t="n"/>
      <c r="AE110" s="246" t="n"/>
      <c r="AF110" s="246" t="n"/>
      <c r="AG110" s="246" t="n"/>
      <c r="AH110" s="246" t="n"/>
      <c r="AI110" s="246" t="n"/>
      <c r="AJ110" s="246" t="n"/>
      <c r="AK110" s="246" t="n"/>
      <c r="AL110" s="246" t="n"/>
      <c r="AM110" s="246" t="n"/>
      <c r="AN110" s="246" t="n"/>
      <c r="AO110" s="246" t="n"/>
      <c r="AP110" s="246" t="n"/>
      <c r="AQ110" s="246" t="n"/>
      <c r="AR110" s="246" t="n"/>
      <c r="AS110" s="246" t="n"/>
      <c r="AT110" s="246" t="n"/>
      <c r="AU110" s="246" t="n"/>
      <c r="AV110" s="246" t="n"/>
      <c r="AW110" s="246" t="n"/>
    </row>
    <row r="111" ht="13.5" customHeight="1">
      <c r="B111" s="246" t="n"/>
      <c r="C111" s="246" t="n"/>
      <c r="D111" s="246" t="n"/>
      <c r="E111" s="246" t="n"/>
      <c r="F111" s="246" t="n"/>
      <c r="G111" s="246" t="n"/>
      <c r="H111" s="246" t="n"/>
      <c r="I111" s="246" t="n"/>
      <c r="J111" s="246" t="n"/>
      <c r="K111" s="246" t="n"/>
      <c r="L111" s="246" t="n"/>
      <c r="M111" s="246" t="n"/>
      <c r="N111" s="246" t="n"/>
      <c r="O111" s="246" t="n"/>
      <c r="P111" s="246" t="n"/>
      <c r="Q111" s="246" t="n"/>
      <c r="R111" s="246" t="n"/>
      <c r="S111" s="246" t="n"/>
      <c r="T111" s="246" t="n"/>
      <c r="U111" s="246" t="n"/>
      <c r="V111" s="246" t="n"/>
      <c r="W111" s="246" t="n"/>
      <c r="X111" s="246" t="n"/>
      <c r="Y111" s="246" t="n"/>
      <c r="Z111" s="246" t="n"/>
      <c r="AA111" s="246" t="n"/>
      <c r="AB111" s="246" t="n"/>
      <c r="AC111" s="246" t="n"/>
      <c r="AD111" s="246" t="n"/>
      <c r="AE111" s="246" t="n"/>
      <c r="AF111" s="246" t="n"/>
      <c r="AG111" s="246" t="n"/>
      <c r="AH111" s="246" t="n"/>
      <c r="AI111" s="246" t="n"/>
      <c r="AJ111" s="246" t="n"/>
      <c r="AK111" s="246" t="n"/>
      <c r="AL111" s="246" t="n"/>
      <c r="AM111" s="246" t="n"/>
      <c r="AN111" s="246" t="n"/>
      <c r="AO111" s="246" t="n"/>
      <c r="AP111" s="246" t="n"/>
      <c r="AQ111" s="246" t="n"/>
      <c r="AR111" s="246" t="n"/>
      <c r="AS111" s="246" t="n"/>
      <c r="AT111" s="246" t="n"/>
      <c r="AU111" s="246" t="n"/>
      <c r="AV111" s="246" t="n"/>
      <c r="AW111" s="246" t="n"/>
    </row>
    <row r="112" ht="13.5" customHeight="1">
      <c r="B112" s="246" t="n"/>
      <c r="C112" s="246" t="n"/>
      <c r="D112" s="246" t="n"/>
      <c r="E112" s="246" t="n"/>
      <c r="F112" s="246" t="n"/>
      <c r="G112" s="246" t="n"/>
      <c r="H112" s="246" t="n"/>
      <c r="I112" s="246" t="n"/>
      <c r="J112" s="246" t="n"/>
      <c r="K112" s="246" t="n"/>
      <c r="L112" s="246" t="n"/>
      <c r="M112" s="246" t="n"/>
      <c r="N112" s="246" t="n"/>
      <c r="O112" s="246" t="n"/>
      <c r="P112" s="246" t="n"/>
      <c r="Q112" s="246" t="n"/>
      <c r="R112" s="246" t="n"/>
      <c r="S112" s="246" t="n"/>
      <c r="T112" s="246" t="n"/>
      <c r="U112" s="246" t="n"/>
      <c r="V112" s="246" t="n"/>
      <c r="W112" s="246" t="n"/>
      <c r="X112" s="246" t="n"/>
      <c r="Y112" s="246" t="n"/>
      <c r="Z112" s="246" t="n"/>
      <c r="AA112" s="246" t="n"/>
      <c r="AB112" s="246" t="n"/>
      <c r="AC112" s="246" t="n"/>
      <c r="AD112" s="246" t="n"/>
      <c r="AE112" s="246" t="n"/>
      <c r="AF112" s="246" t="n"/>
      <c r="AG112" s="246" t="n"/>
      <c r="AH112" s="246" t="n"/>
      <c r="AI112" s="246" t="n"/>
      <c r="AJ112" s="246" t="n"/>
      <c r="AK112" s="246" t="n"/>
      <c r="AL112" s="246" t="n"/>
      <c r="AM112" s="246" t="n"/>
      <c r="AN112" s="246" t="n"/>
      <c r="AO112" s="246" t="n"/>
      <c r="AP112" s="246" t="n"/>
      <c r="AQ112" s="246" t="n"/>
      <c r="AR112" s="246" t="n"/>
      <c r="AS112" s="246" t="n"/>
      <c r="AT112" s="246" t="n"/>
      <c r="AU112" s="246" t="n"/>
      <c r="AV112" s="246" t="n"/>
      <c r="AW112" s="246" t="n"/>
    </row>
    <row r="113" ht="13.5" customHeight="1">
      <c r="D113" s="251" t="n"/>
      <c r="E113" s="251" t="n"/>
      <c r="F113" s="251" t="n"/>
      <c r="G113" s="251" t="n"/>
      <c r="H113" s="251" t="n"/>
      <c r="I113" s="251" t="n"/>
      <c r="J113" s="251" t="n"/>
      <c r="K113" s="251" t="n"/>
      <c r="AA113" s="251" t="n"/>
      <c r="AB113" s="251" t="n"/>
      <c r="AC113" s="251" t="n"/>
      <c r="AD113" s="251" t="n"/>
      <c r="AE113" s="281" t="n"/>
      <c r="AF113" s="281" t="n"/>
      <c r="AG113" s="281" t="n"/>
      <c r="AH113" s="281" t="n"/>
      <c r="AI113" s="281" t="n"/>
      <c r="AJ113" s="281" t="n"/>
      <c r="AK113" s="281" t="n"/>
      <c r="AL113" s="281" t="n"/>
      <c r="AM113" s="281" t="n"/>
      <c r="AN113" s="281" t="n"/>
      <c r="AO113" s="281" t="n"/>
      <c r="AP113" s="281" t="n"/>
      <c r="AQ113" s="281" t="n"/>
      <c r="AR113" s="281" t="n"/>
      <c r="AS113" s="281" t="n"/>
      <c r="AT113" s="281" t="n"/>
      <c r="AU113" s="281" t="n"/>
    </row>
    <row r="114" ht="13.5" customHeight="1">
      <c r="I114" s="251" t="n"/>
      <c r="J114" s="251" t="n"/>
      <c r="K114" s="251" t="n"/>
      <c r="L114" s="251" t="n"/>
      <c r="M114" s="251" t="n"/>
      <c r="N114" s="251" t="n"/>
      <c r="O114" s="251" t="n"/>
      <c r="P114" s="251" t="n"/>
      <c r="Q114" s="251" t="n"/>
      <c r="R114" s="251" t="n"/>
      <c r="S114" s="251" t="n"/>
      <c r="T114" s="251" t="n"/>
      <c r="U114" s="251" t="n"/>
      <c r="V114" s="251" t="n"/>
      <c r="W114" s="251" t="n"/>
      <c r="X114" s="251" t="n"/>
      <c r="Y114" s="251" t="n"/>
      <c r="Z114" s="251" t="n"/>
      <c r="AA114" s="251" t="n"/>
      <c r="AB114" s="251" t="n"/>
      <c r="AC114" s="251" t="n"/>
      <c r="AD114" s="251" t="n"/>
      <c r="AE114" s="282" t="n"/>
      <c r="AF114" s="282" t="n"/>
      <c r="AG114" s="282" t="n"/>
      <c r="AH114" s="282" t="n"/>
      <c r="AI114" s="282" t="n"/>
      <c r="AJ114" s="282" t="n"/>
    </row>
    <row r="115" ht="13.5" customHeight="1">
      <c r="I115" s="251" t="n"/>
      <c r="J115" s="251" t="n"/>
      <c r="K115" s="251" t="n"/>
      <c r="L115" s="251" t="n"/>
      <c r="M115" s="251" t="n"/>
      <c r="N115" s="251" t="n"/>
      <c r="O115" s="251" t="n"/>
      <c r="P115" s="251" t="n"/>
      <c r="Q115" s="251" t="n"/>
      <c r="R115" s="251" t="n"/>
      <c r="S115" s="251" t="n"/>
      <c r="T115" s="251" t="n"/>
      <c r="U115" s="251" t="n"/>
      <c r="V115" s="251" t="n"/>
      <c r="W115" s="251" t="n"/>
      <c r="X115" s="251" t="n"/>
      <c r="Y115" s="251" t="n"/>
      <c r="Z115" s="251" t="n"/>
      <c r="AA115" s="251" t="n"/>
      <c r="AB115" s="251" t="n"/>
      <c r="AC115" s="251" t="n"/>
      <c r="AD115" s="251" t="n"/>
      <c r="AE115" s="282" t="n"/>
      <c r="AF115" s="282" t="n"/>
      <c r="AG115" s="282" t="n"/>
      <c r="AH115" s="282" t="n"/>
      <c r="AI115" s="282" t="n"/>
      <c r="AJ115" s="282" t="n"/>
    </row>
    <row r="116" ht="13.5" customHeight="1">
      <c r="D116" s="251" t="n"/>
      <c r="E116" s="251" t="n"/>
      <c r="F116" s="251" t="n"/>
      <c r="G116" s="251" t="n"/>
      <c r="H116" s="251" t="n"/>
      <c r="I116" s="251" t="n"/>
      <c r="J116" s="251" t="n"/>
      <c r="K116" s="251" t="n"/>
      <c r="AA116" s="251" t="n"/>
      <c r="AB116" s="251" t="n"/>
      <c r="AC116" s="251" t="n"/>
      <c r="AD116" s="251" t="n"/>
      <c r="AE116" s="281" t="n"/>
      <c r="AF116" s="281" t="n"/>
      <c r="AG116" s="281" t="n"/>
      <c r="AH116" s="281" t="n"/>
      <c r="AI116" s="281" t="n"/>
      <c r="AJ116" s="281" t="n"/>
      <c r="AK116" s="281" t="n"/>
      <c r="AL116" s="281" t="n"/>
      <c r="AM116" s="281" t="n"/>
      <c r="AN116" s="281" t="n"/>
      <c r="AO116" s="281" t="n"/>
      <c r="AP116" s="281" t="n"/>
      <c r="AQ116" s="281" t="n"/>
      <c r="AR116" s="281" t="n"/>
      <c r="AS116" s="281" t="n"/>
      <c r="AT116" s="281" t="n"/>
      <c r="AU116" s="281" t="n"/>
    </row>
    <row r="117" ht="13.5" customHeight="1">
      <c r="D117" s="251" t="n"/>
      <c r="E117" s="251" t="n"/>
      <c r="F117" s="251" t="n"/>
      <c r="G117" s="251" t="n"/>
      <c r="H117" s="251" t="n"/>
      <c r="I117" s="251" t="n"/>
      <c r="J117" s="251" t="n"/>
      <c r="K117" s="251" t="n"/>
      <c r="AA117" s="251" t="n"/>
      <c r="AB117" s="251" t="n"/>
      <c r="AC117" s="251" t="n"/>
      <c r="AD117" s="251" t="n"/>
      <c r="AE117" s="281" t="n"/>
      <c r="AF117" s="281" t="n"/>
      <c r="AG117" s="281" t="n"/>
      <c r="AH117" s="281" t="n"/>
      <c r="AI117" s="281" t="n"/>
      <c r="AJ117" s="281" t="n"/>
      <c r="AK117" s="281" t="n"/>
      <c r="AL117" s="281" t="n"/>
      <c r="AM117" s="281" t="n"/>
      <c r="AN117" s="281" t="n"/>
      <c r="AO117" s="281" t="n"/>
      <c r="AP117" s="281" t="n"/>
      <c r="AQ117" s="281" t="n"/>
      <c r="AR117" s="281" t="n"/>
      <c r="AS117" s="281" t="n"/>
      <c r="AT117" s="281" t="n"/>
      <c r="AU117" s="281" t="n"/>
    </row>
  </sheetData>
  <mergeCells count="295">
    <mergeCell ref="AG50:AJ51"/>
    <mergeCell ref="D40:G41"/>
    <mergeCell ref="AP80:AU81"/>
    <mergeCell ref="T90:V91"/>
    <mergeCell ref="U56:V57"/>
    <mergeCell ref="D27:G28"/>
    <mergeCell ref="T60:U61"/>
    <mergeCell ref="Y62:AK63"/>
    <mergeCell ref="N73:R74"/>
    <mergeCell ref="AQ42:AU43"/>
    <mergeCell ref="AM56:AP57"/>
    <mergeCell ref="B23:C30"/>
    <mergeCell ref="D17:G18"/>
    <mergeCell ref="H32:AW33"/>
    <mergeCell ref="L80:Q81"/>
    <mergeCell ref="M36:Z37"/>
    <mergeCell ref="AG71:AH72"/>
    <mergeCell ref="AE84:AI85"/>
    <mergeCell ref="H34:H35"/>
    <mergeCell ref="AA56:AB57"/>
    <mergeCell ref="AC56:AD57"/>
    <mergeCell ref="D65:G70"/>
    <mergeCell ref="X92:AW93"/>
    <mergeCell ref="V34:V35"/>
    <mergeCell ref="I56:L57"/>
    <mergeCell ref="Z96:AC97"/>
    <mergeCell ref="L96:S97"/>
    <mergeCell ref="T86:U87"/>
    <mergeCell ref="K42:AA43"/>
    <mergeCell ref="AP96:AU97"/>
    <mergeCell ref="AN73:AU74"/>
    <mergeCell ref="W56:Z57"/>
    <mergeCell ref="AC36:AG37"/>
    <mergeCell ref="H67:R68"/>
    <mergeCell ref="I73:L74"/>
    <mergeCell ref="B11:G12"/>
    <mergeCell ref="S73:U74"/>
    <mergeCell ref="H25:AW26"/>
    <mergeCell ref="H80:K81"/>
    <mergeCell ref="AJ94:AK95"/>
    <mergeCell ref="AI71:AL72"/>
    <mergeCell ref="T80:V81"/>
    <mergeCell ref="AE94:AI95"/>
    <mergeCell ref="AR34:AW35"/>
    <mergeCell ref="L82:S83"/>
    <mergeCell ref="M58:N59"/>
    <mergeCell ref="AI34:AJ35"/>
    <mergeCell ref="AH73:AM74"/>
    <mergeCell ref="AJ84:AK85"/>
    <mergeCell ref="AM23:AW24"/>
    <mergeCell ref="D29:G30"/>
    <mergeCell ref="AP84:AU85"/>
    <mergeCell ref="AA60:AC61"/>
    <mergeCell ref="I34:L35"/>
    <mergeCell ref="W58:Z59"/>
    <mergeCell ref="AJ86:AK87"/>
    <mergeCell ref="AD86:AI87"/>
    <mergeCell ref="AL84:AO85"/>
    <mergeCell ref="AP90:AU91"/>
    <mergeCell ref="H100:Y101"/>
    <mergeCell ref="AW52:AW53"/>
    <mergeCell ref="R90:S91"/>
    <mergeCell ref="S67:T68"/>
    <mergeCell ref="AT11:AW12"/>
    <mergeCell ref="AC58:AD59"/>
    <mergeCell ref="L84:Q85"/>
    <mergeCell ref="D23:G24"/>
    <mergeCell ref="AD98:AW99"/>
    <mergeCell ref="AL94:AO95"/>
    <mergeCell ref="I60:K61"/>
    <mergeCell ref="B78:C97"/>
    <mergeCell ref="V73:AE74"/>
    <mergeCell ref="Y84:Z85"/>
    <mergeCell ref="D75:K76"/>
    <mergeCell ref="M34:M35"/>
    <mergeCell ref="W94:X95"/>
    <mergeCell ref="AA36:AB37"/>
    <mergeCell ref="Y94:Z95"/>
    <mergeCell ref="D46:G47"/>
    <mergeCell ref="AN13:AS14"/>
    <mergeCell ref="AL86:AO87"/>
    <mergeCell ref="B32:C49"/>
    <mergeCell ref="AN2:AO3"/>
    <mergeCell ref="AL80:AO81"/>
    <mergeCell ref="AP2:AQ3"/>
    <mergeCell ref="W62:X63"/>
    <mergeCell ref="H103:AW107"/>
    <mergeCell ref="L60:M61"/>
    <mergeCell ref="V54:AI55"/>
    <mergeCell ref="AE58:AH59"/>
    <mergeCell ref="AM15:AW16"/>
    <mergeCell ref="N60:O61"/>
    <mergeCell ref="D48:G49"/>
    <mergeCell ref="AK34:AO35"/>
    <mergeCell ref="AG52:AJ53"/>
    <mergeCell ref="AK56:AL57"/>
    <mergeCell ref="AI56:AJ57"/>
    <mergeCell ref="T71:W72"/>
    <mergeCell ref="AA84:AD85"/>
    <mergeCell ref="AR2:AS3"/>
    <mergeCell ref="H48:AW49"/>
    <mergeCell ref="Y80:Z81"/>
    <mergeCell ref="AT2:AU3"/>
    <mergeCell ref="U11:Z12"/>
    <mergeCell ref="AB40:AW41"/>
    <mergeCell ref="L86:S87"/>
    <mergeCell ref="B103:G107"/>
    <mergeCell ref="AD60:AF61"/>
    <mergeCell ref="H84:K85"/>
    <mergeCell ref="AL96:AO97"/>
    <mergeCell ref="AD100:AW101"/>
    <mergeCell ref="S56:T57"/>
    <mergeCell ref="AJ90:AK91"/>
    <mergeCell ref="A5:AX8"/>
    <mergeCell ref="Z98:AC99"/>
    <mergeCell ref="AM67:AU68"/>
    <mergeCell ref="H86:K87"/>
    <mergeCell ref="AV80:AW81"/>
    <mergeCell ref="U13:Z14"/>
    <mergeCell ref="B65:C76"/>
    <mergeCell ref="AA38:AB39"/>
    <mergeCell ref="L62:S63"/>
    <mergeCell ref="V86:Y87"/>
    <mergeCell ref="AQ56:AR57"/>
    <mergeCell ref="H98:Y99"/>
    <mergeCell ref="AH2:AJ3"/>
    <mergeCell ref="R94:S95"/>
    <mergeCell ref="AM69:AU70"/>
    <mergeCell ref="D78:G87"/>
    <mergeCell ref="AA58:AB59"/>
    <mergeCell ref="AN11:AS12"/>
    <mergeCell ref="H17:AW18"/>
    <mergeCell ref="AV42:AW43"/>
    <mergeCell ref="S58:T59"/>
    <mergeCell ref="AO60:AO61"/>
    <mergeCell ref="AB42:AE43"/>
    <mergeCell ref="H78:K79"/>
    <mergeCell ref="AI23:AL24"/>
    <mergeCell ref="Z86:AC87"/>
    <mergeCell ref="AL90:AO91"/>
    <mergeCell ref="T94:V95"/>
    <mergeCell ref="H54:Q55"/>
    <mergeCell ref="AI19:AL20"/>
    <mergeCell ref="H27:AH28"/>
    <mergeCell ref="L90:Q91"/>
    <mergeCell ref="AK2:AM3"/>
    <mergeCell ref="AV96:AW97"/>
    <mergeCell ref="AK60:AL61"/>
    <mergeCell ref="AA90:AD91"/>
    <mergeCell ref="AM60:AN61"/>
    <mergeCell ref="H36:L37"/>
    <mergeCell ref="B50:C61"/>
    <mergeCell ref="AM52:AM53"/>
    <mergeCell ref="H56:H57"/>
    <mergeCell ref="V96:Y97"/>
    <mergeCell ref="X71:AF72"/>
    <mergeCell ref="H58:H59"/>
    <mergeCell ref="R71:S72"/>
    <mergeCell ref="D32:G33"/>
    <mergeCell ref="H50:AF51"/>
    <mergeCell ref="H88:K89"/>
    <mergeCell ref="AF42:AJ43"/>
    <mergeCell ref="AJ80:AK81"/>
    <mergeCell ref="H60:H61"/>
    <mergeCell ref="T88:W89"/>
    <mergeCell ref="AH36:AU37"/>
    <mergeCell ref="AE80:AI81"/>
    <mergeCell ref="H52:AF53"/>
    <mergeCell ref="AM71:AU72"/>
    <mergeCell ref="U65:AL66"/>
    <mergeCell ref="H90:K91"/>
    <mergeCell ref="W84:X85"/>
    <mergeCell ref="M56:N57"/>
    <mergeCell ref="AK50:AW51"/>
    <mergeCell ref="AK42:AL43"/>
    <mergeCell ref="B15:C22"/>
    <mergeCell ref="D56:G59"/>
    <mergeCell ref="AA80:AD81"/>
    <mergeCell ref="D34:G35"/>
    <mergeCell ref="H29:AW30"/>
    <mergeCell ref="V60:Y61"/>
    <mergeCell ref="W34:AD35"/>
    <mergeCell ref="Z60:Z61"/>
    <mergeCell ref="AE34:AH35"/>
    <mergeCell ref="AR60:AR61"/>
    <mergeCell ref="AJ96:AK97"/>
    <mergeCell ref="AP58:AQ59"/>
    <mergeCell ref="R60:S61"/>
    <mergeCell ref="R84:S85"/>
    <mergeCell ref="X40:AA41"/>
    <mergeCell ref="D19:G20"/>
    <mergeCell ref="L78:S79"/>
    <mergeCell ref="AV90:AW91"/>
    <mergeCell ref="AP60:AQ61"/>
    <mergeCell ref="D60:G61"/>
    <mergeCell ref="AA11:AM12"/>
    <mergeCell ref="T84:V85"/>
    <mergeCell ref="AV58:AW59"/>
    <mergeCell ref="D100:G101"/>
    <mergeCell ref="AM42:AP43"/>
    <mergeCell ref="X78:AW79"/>
    <mergeCell ref="AV67:AW68"/>
    <mergeCell ref="AA13:AM14"/>
    <mergeCell ref="R80:S81"/>
    <mergeCell ref="D50:G51"/>
    <mergeCell ref="L92:S93"/>
    <mergeCell ref="D44:G45"/>
    <mergeCell ref="AI15:AL16"/>
    <mergeCell ref="H82:K83"/>
    <mergeCell ref="AP34:AQ35"/>
    <mergeCell ref="AR58:AU59"/>
    <mergeCell ref="L88:S89"/>
    <mergeCell ref="B62:K63"/>
    <mergeCell ref="AV69:AW70"/>
    <mergeCell ref="U67:AL68"/>
    <mergeCell ref="AE56:AH57"/>
    <mergeCell ref="D52:G53"/>
    <mergeCell ref="T78:W79"/>
    <mergeCell ref="D21:G22"/>
    <mergeCell ref="H15:AH16"/>
    <mergeCell ref="AD96:AI97"/>
    <mergeCell ref="H73:H74"/>
    <mergeCell ref="AV84:AW85"/>
    <mergeCell ref="T82:W83"/>
    <mergeCell ref="D36:G37"/>
    <mergeCell ref="W90:X91"/>
    <mergeCell ref="O38:Z39"/>
    <mergeCell ref="U69:AL70"/>
    <mergeCell ref="H11:T12"/>
    <mergeCell ref="H40:W41"/>
    <mergeCell ref="AN54:AW55"/>
    <mergeCell ref="AV86:AW87"/>
    <mergeCell ref="AI27:AL28"/>
    <mergeCell ref="D88:G97"/>
    <mergeCell ref="Y90:Z91"/>
    <mergeCell ref="AM27:AW28"/>
    <mergeCell ref="N34:U35"/>
    <mergeCell ref="U58:V59"/>
    <mergeCell ref="Z100:AC101"/>
    <mergeCell ref="T92:W93"/>
    <mergeCell ref="T96:U97"/>
    <mergeCell ref="O56:R57"/>
    <mergeCell ref="H23:AH24"/>
    <mergeCell ref="T62:V63"/>
    <mergeCell ref="AV36:AW37"/>
    <mergeCell ref="AI58:AJ59"/>
    <mergeCell ref="H94:K95"/>
    <mergeCell ref="AS60:AU61"/>
    <mergeCell ref="AK52:AL53"/>
    <mergeCell ref="R54:U55"/>
    <mergeCell ref="X88:AW89"/>
    <mergeCell ref="I58:L59"/>
    <mergeCell ref="D15:G16"/>
    <mergeCell ref="D71:G72"/>
    <mergeCell ref="AG60:AH61"/>
    <mergeCell ref="D38:N39"/>
    <mergeCell ref="AI60:AJ61"/>
    <mergeCell ref="H44:AW45"/>
    <mergeCell ref="H13:T14"/>
    <mergeCell ref="D25:G26"/>
    <mergeCell ref="AV65:AW66"/>
    <mergeCell ref="H71:Q72"/>
    <mergeCell ref="AV94:AW95"/>
    <mergeCell ref="AF73:AG74"/>
    <mergeCell ref="H96:K97"/>
    <mergeCell ref="D42:J43"/>
    <mergeCell ref="B13:G14"/>
    <mergeCell ref="D73:G74"/>
    <mergeCell ref="O58:R59"/>
    <mergeCell ref="AL62:AW63"/>
    <mergeCell ref="AV71:AW72"/>
    <mergeCell ref="H21:AW22"/>
    <mergeCell ref="AJ54:AM55"/>
    <mergeCell ref="P60:Q61"/>
    <mergeCell ref="W80:X81"/>
    <mergeCell ref="D54:G55"/>
    <mergeCell ref="AP94:AU95"/>
    <mergeCell ref="H92:K93"/>
    <mergeCell ref="AP86:AU87"/>
    <mergeCell ref="AE90:AI91"/>
    <mergeCell ref="AV2:AW3"/>
    <mergeCell ref="AT13:AW14"/>
    <mergeCell ref="AV73:AW74"/>
    <mergeCell ref="D98:G99"/>
    <mergeCell ref="AM19:AW20"/>
    <mergeCell ref="L75:AW76"/>
    <mergeCell ref="H46:AW47"/>
    <mergeCell ref="X82:AW83"/>
    <mergeCell ref="AA94:AD95"/>
    <mergeCell ref="AN52:AV53"/>
    <mergeCell ref="H19:AH20"/>
    <mergeCell ref="L94:Q95"/>
    <mergeCell ref="B98:C101"/>
    <mergeCell ref="M73:M74"/>
    <mergeCell ref="AM65:AU66"/>
  </mergeCells>
  <dataValidations count="9">
    <dataValidation sqref="AK34:AO35 AR34:AW35" showDropDown="0" showInputMessage="1" showErrorMessage="1" allowBlank="1" type="list">
      <formula1>"宅地,公衆用道路,雑種地,田,畑,学校用地,鉄道用地,塩田,鉱泉地,池沼,山林,牧場,原野,墓地,境内地,運河用地,水道用地,用悪水路,ため池,堤,井溝,保安林,公園"</formula1>
    </dataValidation>
    <dataValidation sqref="I60:K61 AD60:AF61" showDropDown="0" showInputMessage="1" showErrorMessage="1" allowBlank="1" type="list" errorStyle="warning">
      <formula1>"昭和,平成,令和"</formula1>
    </dataValidation>
    <dataValidation sqref="AH2:AJ3" showDropDown="0" showInputMessage="1" showErrorMessage="1" allowBlank="1" type="list" errorStyle="warning">
      <formula1>"平成,令和,西暦"</formula1>
    </dataValidation>
    <dataValidation sqref="H11:T12" showDropDown="0" showInputMessage="1" showErrorMessage="1" allowBlank="1" type="list" errorStyle="warning">
      <formula1>"土地売買,土地建物（中古）売買,土地建物（新築）売買,借地権付建物（中古）売買,借地権付建物（新築）売買"</formula1>
    </dataValidation>
    <dataValidation sqref="AA60:AC61" showDropDown="0" showInputMessage="1" showErrorMessage="1" allowBlank="1" type="list">
      <formula1>"増築,改築"</formula1>
    </dataValidation>
    <dataValidation sqref="AK52:AL53" showDropDown="0" showInputMessage="1" showErrorMessage="1" allowBlank="1" type="list">
      <formula1>"有,無"</formula1>
    </dataValidation>
    <dataValidation sqref="H34:H35 H56:H61 H73:H74 M34:M35 M73:M74 V34:V35 AR60:AR61" showDropDown="0" showInputMessage="1" showErrorMessage="1" allowBlank="1" type="list">
      <formula1>"□,■"</formula1>
    </dataValidation>
    <dataValidation sqref="AT13:AW14" showDropDown="0" showInputMessage="1" showErrorMessage="1" allowBlank="1" type="list" errorStyle="warning">
      <formula1>"媒介,代理,売主,買主"</formula1>
    </dataValidation>
    <dataValidation sqref="AT11:AW12" showDropDown="0" showInputMessage="1" showErrorMessage="1" allowBlank="1" type="list">
      <formula1>"売買,交換"</formula1>
    </dataValidation>
  </dataValidations>
  <printOptions horizontalCentered="1"/>
  <pageMargins left="0.5118110236220472" right="0.4724409448818898" top="0.3937007874015748" bottom="0.3937007874015748" header="0.1968503937007874" footer="0.1968503937007874"/>
  <pageSetup orientation="portrait" paperSize="9" scale="69" blackAndWhite="1"/>
  <headerFooter alignWithMargins="0">
    <oddHeader/>
    <oddFooter>&amp;R&amp;"ＭＳ Ｐゴシック,標準"&amp;K000000733-1.取引成立台帳（土地、土地建物、借地権付建物売買）_x000a_（公社）全日本不動産協会 '2112</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L25"/>
  <sheetViews>
    <sheetView showGridLines="0" view="pageBreakPreview" zoomScaleNormal="100" zoomScaleSheetLayoutView="100" workbookViewId="0">
      <selection activeCell="L20" sqref="L20"/>
    </sheetView>
  </sheetViews>
  <sheetFormatPr baseColWidth="10" defaultColWidth="8.83203125" defaultRowHeight="14"/>
  <cols>
    <col width="8.6640625" customWidth="1" style="829" min="1" max="5"/>
    <col width="10.6640625" customWidth="1" style="829" min="6" max="6"/>
    <col width="9.6640625" customWidth="1" style="829" min="7" max="7"/>
    <col width="8.6640625" customWidth="1" style="829" min="8" max="8"/>
    <col width="11.5" customWidth="1" style="829" min="9" max="9"/>
    <col width="9.6640625" customWidth="1" style="829" min="10" max="11"/>
    <col width="14.33203125" customWidth="1" style="829" min="12" max="12"/>
    <col width="8.83203125" customWidth="1" style="829" min="13" max="16384"/>
  </cols>
  <sheetData>
    <row r="1">
      <c r="A1" s="858" t="inlineStr">
        <is>
          <t>購　　入　　申　　込　　書</t>
        </is>
      </c>
    </row>
    <row r="2"/>
    <row r="3">
      <c r="A3" s="339" t="n"/>
      <c r="B3" s="339" t="n"/>
      <c r="C3" s="339" t="n"/>
      <c r="D3" s="339" t="n"/>
      <c r="E3" s="339" t="n"/>
      <c r="F3" s="339" t="n"/>
      <c r="G3" s="339" t="n"/>
      <c r="H3" s="339" t="n"/>
      <c r="I3" s="339" t="n"/>
      <c r="J3" s="860">
        <f>TODAY()+1</f>
        <v/>
      </c>
    </row>
    <row r="4" ht="15" customHeight="1">
      <c r="A4" s="1127" t="inlineStr">
        <is>
          <t>売主　様</t>
        </is>
      </c>
      <c r="F4" s="342" t="n"/>
      <c r="G4" s="339" t="n"/>
      <c r="H4" s="339" t="n"/>
      <c r="I4" s="339" t="n"/>
      <c r="J4" s="860" t="n"/>
      <c r="K4" s="861" t="n"/>
      <c r="L4" s="861" t="n"/>
    </row>
    <row r="5" ht="15" customHeight="1">
      <c r="A5" s="342" t="n"/>
      <c r="B5" s="342" t="n"/>
      <c r="C5" s="342" t="n"/>
      <c r="D5" s="342" t="n"/>
      <c r="E5" s="342" t="n"/>
      <c r="F5" s="342" t="n"/>
      <c r="G5" s="339" t="n"/>
      <c r="H5" s="339" t="n"/>
      <c r="I5" s="339" t="n"/>
      <c r="J5" s="860" t="n"/>
      <c r="K5" s="861" t="n"/>
      <c r="L5" s="861" t="n"/>
    </row>
    <row r="6" ht="15" customHeight="1">
      <c r="A6" s="342" t="inlineStr">
        <is>
          <t>下記表示の不動産を、下記条件にて購入致します。</t>
        </is>
      </c>
      <c r="B6" s="342" t="n"/>
      <c r="C6" s="342" t="n"/>
      <c r="D6" s="342" t="n"/>
      <c r="E6" s="342" t="n"/>
      <c r="F6" s="342" t="n"/>
      <c r="G6" s="339" t="n"/>
      <c r="H6" s="339" t="n"/>
      <c r="I6" s="339" t="n"/>
      <c r="J6" s="339" t="n"/>
      <c r="K6" s="339" t="n"/>
      <c r="L6" s="339" t="n"/>
    </row>
    <row r="7" ht="8.25" customHeight="1" thickBot="1">
      <c r="A7" s="339" t="n"/>
      <c r="B7" s="339" t="n"/>
      <c r="C7" s="339" t="n"/>
      <c r="D7" s="339" t="n"/>
      <c r="E7" s="339" t="n"/>
      <c r="F7" s="339" t="n"/>
      <c r="G7" s="339" t="n"/>
      <c r="H7" s="339" t="n"/>
      <c r="I7" s="339" t="n"/>
      <c r="J7" s="339" t="n"/>
      <c r="K7" s="339" t="n"/>
      <c r="L7" s="339" t="n"/>
    </row>
    <row r="8" ht="21.75" customHeight="1" thickTop="1">
      <c r="A8" s="1128" t="inlineStr">
        <is>
          <t>不動産の表示</t>
        </is>
      </c>
      <c r="B8" s="1129" t="n"/>
      <c r="C8" s="1130" t="inlineStr">
        <is>
          <t>所在地番</t>
        </is>
      </c>
      <c r="D8" s="1129" t="n"/>
      <c r="E8" s="869">
        <f>①物件情報入力シート!C4</f>
        <v/>
      </c>
      <c r="F8" s="1131" t="n"/>
      <c r="G8" s="1131" t="n"/>
      <c r="H8" s="1131" t="n"/>
      <c r="I8" s="1131" t="n"/>
      <c r="J8" s="1131" t="n"/>
      <c r="K8" s="1131" t="n"/>
      <c r="L8" s="1132" t="n"/>
    </row>
    <row r="9" ht="21.75" customHeight="1">
      <c r="A9" s="1133" t="n"/>
      <c r="B9" s="1056" t="n"/>
      <c r="C9" s="352" t="inlineStr">
        <is>
          <t>土地面積</t>
        </is>
      </c>
      <c r="D9" s="937" t="n"/>
      <c r="E9" s="870">
        <f>①物件情報入力シート!C5</f>
        <v/>
      </c>
      <c r="F9" s="936" t="n"/>
      <c r="G9" s="344" t="inlineStr">
        <is>
          <t>㎡</t>
        </is>
      </c>
      <c r="H9" s="850" t="inlineStr">
        <is>
          <t>建物面積</t>
        </is>
      </c>
      <c r="I9" s="936" t="n"/>
      <c r="J9" s="870">
        <f>①物件情報入力シート!C17+①物件情報入力シート!C18+①物件情報入力シート!C19</f>
        <v/>
      </c>
      <c r="K9" s="936" t="n"/>
      <c r="L9" s="345" t="inlineStr">
        <is>
          <t>㎡</t>
        </is>
      </c>
    </row>
    <row r="10" ht="21.75" customHeight="1">
      <c r="A10" s="830" t="inlineStr">
        <is>
          <t>所有者（売主）</t>
        </is>
      </c>
      <c r="B10" s="1045" t="n"/>
      <c r="C10" s="1134" t="inlineStr">
        <is>
          <t>売　主　　様</t>
        </is>
      </c>
      <c r="L10" s="1135" t="n"/>
    </row>
    <row r="11" ht="21.75" customHeight="1">
      <c r="A11" s="1136" t="inlineStr">
        <is>
          <t>買　受　条　件</t>
        </is>
      </c>
      <c r="B11" s="1046" t="n"/>
      <c r="C11" s="1137" t="inlineStr">
        <is>
          <t>売買金額</t>
        </is>
      </c>
      <c r="D11" s="1046" t="n"/>
      <c r="E11" s="1138">
        <f>'②（土地・建物）事業収支シート'!M29</f>
        <v/>
      </c>
      <c r="F11" s="936" t="n"/>
      <c r="G11" s="936" t="n"/>
      <c r="H11" s="936" t="n"/>
      <c r="I11" s="936" t="n"/>
      <c r="J11" s="347" t="n"/>
      <c r="K11" s="347" t="n"/>
      <c r="L11" s="348" t="n"/>
    </row>
    <row r="12" ht="21.75" customHeight="1">
      <c r="A12" s="1139" t="n"/>
      <c r="B12" s="1062" t="n"/>
      <c r="C12" s="1137" t="inlineStr">
        <is>
          <t>支払条件</t>
        </is>
      </c>
      <c r="D12" s="1046" t="n"/>
      <c r="E12" s="831" t="inlineStr">
        <is>
          <t>手付金</t>
        </is>
      </c>
      <c r="F12" s="1140">
        <f>'②（土地・建物）事業収支シート'!H28</f>
        <v/>
      </c>
      <c r="G12" s="936" t="n"/>
      <c r="H12" s="936" t="n"/>
      <c r="I12" s="937" t="n"/>
      <c r="J12" s="349" t="n"/>
      <c r="K12" s="350" t="n"/>
      <c r="L12" s="351" t="n"/>
    </row>
    <row r="13" ht="21.75" customHeight="1">
      <c r="A13" s="1139" t="n"/>
      <c r="B13" s="1062" t="n"/>
      <c r="C13" s="1061" t="n"/>
      <c r="D13" s="1062" t="n"/>
      <c r="E13" s="352" t="inlineStr">
        <is>
          <t>中間金</t>
        </is>
      </c>
      <c r="F13" s="1141" t="n"/>
      <c r="G13" s="936" t="n"/>
      <c r="H13" s="936" t="n"/>
      <c r="I13" s="937" t="n"/>
      <c r="J13" s="349" t="n"/>
      <c r="K13" s="350" t="n"/>
      <c r="L13" s="351" t="n"/>
    </row>
    <row r="14" ht="21.75" customHeight="1">
      <c r="A14" s="1139" t="n"/>
      <c r="B14" s="1062" t="n"/>
      <c r="C14" s="1061" t="n"/>
      <c r="D14" s="1062" t="n"/>
      <c r="E14" s="859" t="inlineStr">
        <is>
          <t>残代金</t>
        </is>
      </c>
      <c r="F14" s="1140">
        <f>E11-F12</f>
        <v/>
      </c>
      <c r="G14" s="936" t="n"/>
      <c r="H14" s="936" t="n"/>
      <c r="I14" s="937" t="n"/>
      <c r="J14" s="349" t="inlineStr">
        <is>
          <t>決済時に売主指定口座へ振り込み</t>
        </is>
      </c>
      <c r="K14" s="350" t="n"/>
      <c r="L14" s="351" t="n"/>
    </row>
    <row r="15" ht="21.75" customHeight="1">
      <c r="A15" s="1139" t="n"/>
      <c r="B15" s="1062" t="n"/>
      <c r="C15" s="352" t="inlineStr">
        <is>
          <t>融資利用</t>
        </is>
      </c>
      <c r="D15" s="937" t="n"/>
      <c r="E15" s="850" t="inlineStr">
        <is>
          <t>有・無</t>
        </is>
      </c>
      <c r="F15" s="352" t="n"/>
      <c r="G15" s="936" t="n"/>
      <c r="H15" s="936" t="n"/>
      <c r="I15" s="937" t="n"/>
      <c r="J15" s="352" t="inlineStr">
        <is>
          <t>融資利用特約</t>
        </is>
      </c>
      <c r="K15" s="937" t="n"/>
      <c r="L15" s="353" t="inlineStr">
        <is>
          <t>有・無</t>
        </is>
      </c>
    </row>
    <row r="16" ht="150" customHeight="1" thickBot="1">
      <c r="A16" s="1142" t="n"/>
      <c r="B16" s="1143" t="n"/>
      <c r="C16" s="1144" t="inlineStr">
        <is>
          <t>その他</t>
        </is>
      </c>
      <c r="D16" s="1143" t="n"/>
      <c r="E16" s="1145" t="inlineStr">
        <is>
          <t>・売主様の契約不適合責任免責。
・内外動産物含め現況有姿で購入いたします。
・決済前に販売活動を開始するものとします。
・決済前に調査等により敷地内及び建物内への立入をご承諾頂けるものとします。
・近隣トラブル、越境問題がないこと。
・第三者の為の売買契約、決済猶予は契約から6ヶ月間とすること。
・司法書士は買主にて指定させていただきます。</t>
        </is>
      </c>
      <c r="F16" s="1146" t="n"/>
      <c r="G16" s="1146" t="n"/>
      <c r="H16" s="1146" t="n"/>
      <c r="I16" s="1146" t="n"/>
      <c r="J16" s="1146" t="n"/>
      <c r="K16" s="1146" t="n"/>
      <c r="L16" s="1147" t="n"/>
    </row>
    <row r="17" ht="17.25" customHeight="1" thickTop="1">
      <c r="A17" s="859" t="n"/>
      <c r="B17" s="859" t="n"/>
      <c r="C17" s="859" t="n"/>
      <c r="D17" s="859" t="n"/>
      <c r="E17" s="354" t="n"/>
      <c r="F17" s="857" t="n"/>
      <c r="G17" s="857" t="n"/>
      <c r="H17" s="857" t="n"/>
      <c r="I17" s="857" t="n"/>
      <c r="J17" s="857" t="n"/>
      <c r="K17" s="857" t="n"/>
      <c r="L17" s="857" t="n"/>
    </row>
    <row r="18" ht="23.25" customHeight="1">
      <c r="A18" s="356" t="n"/>
      <c r="B18" s="356" t="n"/>
      <c r="C18" s="356" t="n"/>
      <c r="D18" s="356" t="n"/>
      <c r="E18" s="356" t="n"/>
      <c r="F18" s="339" t="n"/>
      <c r="G18" s="857" t="inlineStr">
        <is>
          <t>≪申込人≫</t>
        </is>
      </c>
      <c r="J18" s="339" t="n"/>
      <c r="K18" s="339" t="n"/>
      <c r="L18" s="339" t="n"/>
    </row>
    <row r="19" ht="15" customHeight="1">
      <c r="A19" s="356" t="n"/>
      <c r="B19" s="356" t="n"/>
      <c r="C19" s="356" t="n"/>
      <c r="D19" s="356" t="n"/>
      <c r="E19" s="356" t="n"/>
      <c r="F19" s="339" t="n"/>
      <c r="G19" s="857" t="n"/>
      <c r="H19" s="857" t="n"/>
      <c r="I19" s="339" t="n"/>
      <c r="J19" s="339" t="n"/>
      <c r="K19" s="339" t="n"/>
      <c r="L19" s="339" t="n"/>
    </row>
    <row r="20">
      <c r="A20" s="829" t="n"/>
      <c r="F20" s="339" t="n"/>
      <c r="G20" s="357" t="inlineStr">
        <is>
          <t>住　　　所</t>
        </is>
      </c>
      <c r="H20" s="358" t="inlineStr">
        <is>
          <t xml:space="preserve">　埼玉県さいたま市大宮区宮町4-38-4</t>
        </is>
      </c>
      <c r="I20" s="357" t="n"/>
      <c r="J20" s="357" t="n"/>
      <c r="K20" s="357" t="n"/>
      <c r="L20" s="357" t="n"/>
    </row>
    <row r="21">
      <c r="F21" s="339" t="n"/>
      <c r="G21" s="339" t="n"/>
      <c r="H21" s="339" t="n"/>
      <c r="I21" s="339" t="n"/>
      <c r="J21" s="339" t="n"/>
      <c r="K21" s="339" t="n"/>
      <c r="L21" s="339" t="n"/>
    </row>
    <row r="22">
      <c r="F22" s="339" t="n"/>
      <c r="G22" s="339" t="n"/>
      <c r="H22" s="829" t="inlineStr">
        <is>
          <t>株式会社B&amp;Sエステート</t>
        </is>
      </c>
      <c r="I22" s="339" t="n"/>
      <c r="J22" s="339" t="n"/>
      <c r="K22" s="339" t="n"/>
      <c r="L22" s="339" t="n"/>
    </row>
    <row r="23">
      <c r="A23" s="339" t="n"/>
      <c r="B23" s="339" t="n"/>
      <c r="C23" s="339" t="n"/>
      <c r="D23" s="339" t="n"/>
      <c r="E23" s="339" t="n"/>
      <c r="F23" s="339" t="n"/>
      <c r="G23" s="357" t="inlineStr">
        <is>
          <t>氏　　　名</t>
        </is>
      </c>
      <c r="H23" s="358" t="inlineStr">
        <is>
          <t>代表取締役　江　藤　　哲　寛</t>
        </is>
      </c>
      <c r="I23" s="357" t="n"/>
      <c r="J23" s="357" t="n"/>
      <c r="K23" s="359" t="n"/>
      <c r="L23" s="357" t="n"/>
    </row>
    <row r="24" ht="10.5" customHeight="1">
      <c r="A24" s="339" t="n"/>
      <c r="B24" s="339" t="n"/>
      <c r="C24" s="339" t="n"/>
      <c r="D24" s="339" t="n"/>
      <c r="E24" s="339" t="n"/>
      <c r="F24" s="339" t="n"/>
      <c r="G24" s="339" t="n"/>
      <c r="H24" s="360" t="n"/>
      <c r="I24" s="339" t="n"/>
      <c r="J24" s="339" t="n"/>
      <c r="K24" s="339" t="n"/>
      <c r="L24" s="339" t="n"/>
    </row>
    <row r="25" ht="13.5" customHeight="1">
      <c r="F25" s="361" t="n"/>
    </row>
  </sheetData>
  <mergeCells count="26">
    <mergeCell ref="F13:I13"/>
    <mergeCell ref="C15:D15"/>
    <mergeCell ref="H9:I9"/>
    <mergeCell ref="E8:L8"/>
    <mergeCell ref="A8:B9"/>
    <mergeCell ref="J9:K9"/>
    <mergeCell ref="F14:I14"/>
    <mergeCell ref="C16:D16"/>
    <mergeCell ref="J15:K15"/>
    <mergeCell ref="A1:L2"/>
    <mergeCell ref="C9:D9"/>
    <mergeCell ref="G18:H18"/>
    <mergeCell ref="E9:F9"/>
    <mergeCell ref="J3:L3"/>
    <mergeCell ref="C11:D11"/>
    <mergeCell ref="F12:I12"/>
    <mergeCell ref="E11:I11"/>
    <mergeCell ref="F15:I15"/>
    <mergeCell ref="C12:D14"/>
    <mergeCell ref="C10:L10"/>
    <mergeCell ref="C8:D8"/>
    <mergeCell ref="A4:E4"/>
    <mergeCell ref="A20:E20"/>
    <mergeCell ref="A11:B16"/>
    <mergeCell ref="A10:B10"/>
    <mergeCell ref="E16:L16"/>
  </mergeCells>
  <printOptions horizontalCentered="1" verticalCentered="1"/>
  <pageMargins left="0.7874015748031497" right="0.7874015748031497" top="0.3937007874015748" bottom="0.3937007874015748" header="0.5118110236220472" footer="0.5118110236220472"/>
  <pageSetup orientation="landscape" paperSize="9" scale="98"/>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I31"/>
  <sheetViews>
    <sheetView showGridLines="0" view="pageLayout" topLeftCell="C13" zoomScale="90" zoomScaleNormal="100" zoomScalePageLayoutView="90" workbookViewId="0">
      <selection activeCell="B14" sqref="B14:H14"/>
    </sheetView>
  </sheetViews>
  <sheetFormatPr baseColWidth="10" defaultColWidth="9" defaultRowHeight="14"/>
  <cols>
    <col width="9.6640625" customWidth="1" style="283" min="1" max="8"/>
    <col width="9" customWidth="1" style="283" min="9" max="16384"/>
  </cols>
  <sheetData>
    <row r="1" ht="20" customHeight="1">
      <c r="A1" s="887" t="inlineStr">
        <is>
          <t>不動産購入申込書</t>
        </is>
      </c>
    </row>
    <row r="2" ht="20" customFormat="1" customHeight="1" s="285">
      <c r="A2" s="880" t="n"/>
      <c r="B2" s="880" t="n"/>
      <c r="C2" s="880" t="n"/>
      <c r="D2" s="880" t="n"/>
      <c r="E2" s="880" t="n"/>
      <c r="F2" s="880" t="n"/>
      <c r="G2" s="880" t="n"/>
      <c r="H2" s="880" t="n"/>
    </row>
    <row r="3" ht="20" customFormat="1" customHeight="1" s="285">
      <c r="F3" s="888">
        <f>TODAY()+2</f>
        <v/>
      </c>
    </row>
    <row r="4" ht="20" customFormat="1" customHeight="1" s="285">
      <c r="A4" s="872" t="inlineStr">
        <is>
          <t>所有者　様</t>
        </is>
      </c>
    </row>
    <row r="5" ht="20" customFormat="1" customHeight="1" s="285">
      <c r="A5" s="872" t="n"/>
      <c r="B5" s="878" t="n"/>
      <c r="C5" s="878" t="n"/>
      <c r="D5" s="878" t="n"/>
      <c r="E5" s="890" t="inlineStr">
        <is>
          <t xml:space="preserve"> 住所　　和光市白子3-6-13</t>
        </is>
      </c>
      <c r="F5" s="1055" t="n"/>
      <c r="G5" s="1055" t="n"/>
      <c r="H5" s="1055" t="n"/>
    </row>
    <row r="6" ht="20" customFormat="1" customHeight="1" s="285">
      <c r="A6" s="872" t="n"/>
      <c r="B6" s="878" t="n"/>
      <c r="C6" s="878" t="n"/>
      <c r="D6" s="878" t="n"/>
    </row>
    <row r="7" ht="20" customFormat="1" customHeight="1" s="285">
      <c r="A7" s="872" t="n"/>
      <c r="B7" s="878" t="n"/>
      <c r="C7" s="878" t="n"/>
      <c r="D7" s="878" t="n"/>
      <c r="E7" s="890" t="inlineStr">
        <is>
          <t>氏名（有）榎本工務店　榎本　俊一</t>
        </is>
      </c>
      <c r="F7" s="1055" t="n"/>
      <c r="G7" s="1055" t="n"/>
      <c r="H7" s="288" t="inlineStr">
        <is>
          <t>㊞</t>
        </is>
      </c>
    </row>
    <row r="8" ht="20" customFormat="1" customHeight="1" s="289">
      <c r="I8" s="290" t="n"/>
    </row>
    <row r="9" ht="20" customHeight="1">
      <c r="A9" s="886" t="inlineStr">
        <is>
          <t xml:space="preserve">　私は、下記の不動産を以下の条件にて購入したく申し込みいたします。</t>
        </is>
      </c>
    </row>
    <row r="10" ht="20" customHeight="1">
      <c r="A10" s="291" t="n"/>
      <c r="B10" s="878" t="n"/>
      <c r="C10" s="878" t="n"/>
      <c r="D10" s="878" t="n"/>
      <c r="E10" s="878" t="n"/>
      <c r="F10" s="878" t="n"/>
      <c r="G10" s="878" t="n"/>
      <c r="H10" s="878" t="n"/>
    </row>
    <row r="11" ht="20" customHeight="1">
      <c r="A11" s="880" t="inlineStr">
        <is>
          <t>記</t>
        </is>
      </c>
    </row>
    <row r="12" ht="20" customHeight="1">
      <c r="A12" s="880" t="n"/>
      <c r="B12" s="880" t="n"/>
      <c r="C12" s="880" t="n"/>
      <c r="D12" s="880" t="n"/>
      <c r="E12" s="880" t="n"/>
      <c r="F12" s="880" t="n"/>
      <c r="G12" s="880" t="n"/>
      <c r="H12" s="880" t="n"/>
    </row>
    <row r="13" ht="20" customHeight="1">
      <c r="A13" s="878" t="inlineStr">
        <is>
          <t>１．売買物件の表示</t>
        </is>
      </c>
    </row>
    <row r="14" ht="20" customHeight="1">
      <c r="A14" s="292" t="inlineStr">
        <is>
          <t>所　在</t>
        </is>
      </c>
      <c r="B14" s="875">
        <f>①物件情報入力シート!C4</f>
        <v/>
      </c>
      <c r="C14" s="936" t="n"/>
      <c r="D14" s="936" t="n"/>
      <c r="E14" s="936" t="n"/>
      <c r="F14" s="936" t="n"/>
      <c r="G14" s="936" t="n"/>
      <c r="H14" s="937" t="n"/>
    </row>
    <row r="15" ht="20" customHeight="1">
      <c r="A15" s="876" t="inlineStr">
        <is>
          <t>土　地</t>
        </is>
      </c>
      <c r="B15" s="876" t="inlineStr">
        <is>
          <t>土地面積</t>
        </is>
      </c>
      <c r="C15" s="1148">
        <f>①物件情報入力シート!C5</f>
        <v/>
      </c>
      <c r="D15" s="937" t="n"/>
      <c r="E15" s="295" t="n"/>
      <c r="F15" s="296" t="n"/>
      <c r="G15" s="297" t="n"/>
      <c r="H15" s="298" t="n"/>
    </row>
    <row r="16" ht="20" customHeight="1">
      <c r="A16" s="876" t="inlineStr">
        <is>
          <t>建　物</t>
        </is>
      </c>
      <c r="B16" s="876" t="inlineStr">
        <is>
          <t>床面積</t>
        </is>
      </c>
      <c r="C16" s="876" t="inlineStr">
        <is>
          <t>１階</t>
        </is>
      </c>
      <c r="D16" s="1148">
        <f>①物件情報入力シート!C17</f>
        <v/>
      </c>
      <c r="E16" s="876" t="inlineStr">
        <is>
          <t>２階</t>
        </is>
      </c>
      <c r="F16" s="1148">
        <f>①物件情報入力シート!C18</f>
        <v/>
      </c>
      <c r="G16" s="876" t="inlineStr">
        <is>
          <t>３階</t>
        </is>
      </c>
      <c r="H16" s="1148">
        <f>①物件情報入力シート!C19</f>
        <v/>
      </c>
    </row>
    <row r="17" ht="20" customHeight="1">
      <c r="A17" s="1022" t="n"/>
      <c r="B17" s="876" t="inlineStr">
        <is>
          <t>(その他)</t>
        </is>
      </c>
      <c r="C17" s="875" t="n"/>
      <c r="D17" s="936" t="n"/>
      <c r="E17" s="936" t="n"/>
      <c r="F17" s="937" t="n"/>
      <c r="G17" s="876" t="inlineStr">
        <is>
          <t>延床面積</t>
        </is>
      </c>
      <c r="H17" s="1148">
        <f>D16+F16+H16</f>
        <v/>
      </c>
    </row>
    <row r="18" ht="20" customHeight="1">
      <c r="A18" s="880" t="n"/>
      <c r="B18" s="880" t="n"/>
      <c r="C18" s="880" t="n"/>
      <c r="D18" s="880" t="n"/>
      <c r="E18" s="880" t="n"/>
      <c r="F18" s="880" t="n"/>
      <c r="G18" s="880" t="n"/>
      <c r="H18" s="880" t="n"/>
    </row>
    <row r="19" ht="20" customHeight="1">
      <c r="A19" s="878" t="inlineStr">
        <is>
          <t>２．売買代金及び支払い条件</t>
        </is>
      </c>
    </row>
    <row r="20" ht="20" customHeight="1">
      <c r="A20" s="874" t="inlineStr">
        <is>
          <t>購入価格</t>
        </is>
      </c>
      <c r="B20" s="937" t="n"/>
      <c r="C20" s="876" t="inlineStr">
        <is>
          <t>売買代金総額</t>
        </is>
      </c>
      <c r="D20" s="936" t="n"/>
      <c r="E20" s="937" t="n"/>
      <c r="F20" s="1149" t="n">
        <v>4200000</v>
      </c>
      <c r="G20" s="937" t="n"/>
      <c r="H20" s="876" t="inlineStr">
        <is>
          <t>円也</t>
        </is>
      </c>
    </row>
    <row r="21" ht="20" customHeight="1">
      <c r="A21" s="874" t="inlineStr">
        <is>
          <t>手付金</t>
        </is>
      </c>
      <c r="B21" s="937" t="n"/>
      <c r="C21" s="876" t="inlineStr">
        <is>
          <t>本契約締結時</t>
        </is>
      </c>
      <c r="D21" s="936" t="n"/>
      <c r="E21" s="937" t="n"/>
      <c r="F21" s="1150">
        <f>F20*0.05</f>
        <v/>
      </c>
      <c r="G21" s="937" t="n"/>
      <c r="H21" s="876" t="inlineStr">
        <is>
          <t>円也</t>
        </is>
      </c>
    </row>
    <row r="22" ht="20" customHeight="1">
      <c r="A22" s="874" t="inlineStr">
        <is>
          <t>残代金</t>
        </is>
      </c>
      <c r="B22" s="937" t="n"/>
      <c r="C22" s="876" t="inlineStr">
        <is>
          <t>所有権移転時</t>
        </is>
      </c>
      <c r="D22" s="936" t="n"/>
      <c r="E22" s="937" t="n"/>
      <c r="F22" s="1149">
        <f>F20-F21</f>
        <v/>
      </c>
      <c r="G22" s="937" t="n"/>
      <c r="H22" s="876" t="inlineStr">
        <is>
          <t>円也</t>
        </is>
      </c>
    </row>
    <row r="23" ht="20" customHeight="1">
      <c r="A23" s="874" t="inlineStr">
        <is>
          <t>契約時期</t>
        </is>
      </c>
      <c r="B23" s="937" t="n"/>
      <c r="C23" s="876" t="inlineStr">
        <is>
          <t>ご相談</t>
        </is>
      </c>
      <c r="D23" s="937" t="n"/>
      <c r="E23" s="874" t="inlineStr">
        <is>
          <t>引渡時期</t>
        </is>
      </c>
      <c r="F23" s="937" t="n"/>
      <c r="G23" s="876" t="inlineStr">
        <is>
          <t>ご相談</t>
        </is>
      </c>
      <c r="H23" s="937" t="n"/>
    </row>
    <row r="24" ht="20" customHeight="1">
      <c r="A24" s="874" t="inlineStr">
        <is>
          <t>融資利用</t>
        </is>
      </c>
      <c r="B24" s="937" t="n"/>
      <c r="C24" s="875" t="inlineStr">
        <is>
          <t>融資利用なし</t>
        </is>
      </c>
      <c r="D24" s="936" t="n"/>
      <c r="E24" s="936" t="n"/>
      <c r="F24" s="936" t="n"/>
      <c r="G24" s="936" t="n"/>
      <c r="H24" s="937" t="n"/>
    </row>
    <row r="25" ht="20" customHeight="1">
      <c r="A25" s="874" t="inlineStr">
        <is>
          <t>備考</t>
        </is>
      </c>
      <c r="B25" s="937" t="n"/>
      <c r="C25" s="875" t="n"/>
      <c r="D25" s="936" t="n"/>
      <c r="E25" s="936" t="n"/>
      <c r="F25" s="936" t="n"/>
      <c r="G25" s="936" t="n"/>
      <c r="H25" s="937" t="n"/>
    </row>
    <row r="26" ht="20" customHeight="1">
      <c r="A26" s="874" t="inlineStr">
        <is>
          <t>その他条件</t>
        </is>
      </c>
      <c r="B26" s="1046" t="n"/>
      <c r="C26" s="875" t="inlineStr">
        <is>
          <t>残置物はすべて売主様負担で処分をお願いします。</t>
        </is>
      </c>
      <c r="D26" s="936" t="n"/>
      <c r="E26" s="936" t="n"/>
      <c r="F26" s="936" t="n"/>
      <c r="G26" s="936" t="n"/>
      <c r="H26" s="937" t="n"/>
    </row>
    <row r="27" ht="20" customHeight="1">
      <c r="A27" s="1061" t="n"/>
      <c r="B27" s="1062" t="n"/>
      <c r="C27" s="875" t="inlineStr">
        <is>
          <t>売主様負担にて確定測量完了後の決済とさせていただきます。</t>
        </is>
      </c>
      <c r="D27" s="936" t="n"/>
      <c r="E27" s="936" t="n"/>
      <c r="F27" s="936" t="n"/>
      <c r="G27" s="936" t="n"/>
      <c r="H27" s="937" t="n"/>
    </row>
    <row r="28" ht="20" customHeight="1">
      <c r="A28" s="1061" t="n"/>
      <c r="B28" s="1062" t="n"/>
      <c r="C28" s="875" t="inlineStr">
        <is>
          <t>契約不適合責任3か月でお願いいたします。</t>
        </is>
      </c>
      <c r="D28" s="936" t="n"/>
      <c r="E28" s="936" t="n"/>
      <c r="F28" s="936" t="n"/>
      <c r="G28" s="936" t="n"/>
      <c r="H28" s="937" t="n"/>
    </row>
    <row r="29" ht="20" customHeight="1">
      <c r="A29" s="1054" t="n"/>
      <c r="B29" s="1056" t="n"/>
      <c r="C29" s="875" t="n"/>
      <c r="D29" s="936" t="n"/>
      <c r="E29" s="936" t="n"/>
      <c r="F29" s="936" t="n"/>
      <c r="G29" s="936" t="n"/>
      <c r="H29" s="937" t="n"/>
    </row>
    <row r="30" ht="20" customHeight="1">
      <c r="A30" s="872" t="n"/>
      <c r="B30" s="872" t="n"/>
      <c r="C30" s="878" t="n"/>
      <c r="D30" s="878" t="n"/>
      <c r="E30" s="878" t="n"/>
      <c r="F30" s="878" t="n"/>
      <c r="G30" s="878" t="n"/>
      <c r="H30" s="878" t="n"/>
    </row>
    <row r="31" ht="20" customHeight="1">
      <c r="A31" s="872" t="inlineStr">
        <is>
          <t>※本書の有効期限</t>
        </is>
      </c>
      <c r="D31" s="873">
        <f>TODAY()+30</f>
        <v/>
      </c>
      <c r="F31" s="285" t="inlineStr">
        <is>
          <t>まで</t>
        </is>
      </c>
      <c r="G31" s="285" t="n"/>
      <c r="H31" s="285" t="n"/>
    </row>
    <row r="32" ht="20" customHeight="1"/>
    <row r="33" ht="20" customHeight="1"/>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row r="73" ht="20" customHeight="1"/>
    <row r="74" ht="20" customHeight="1"/>
    <row r="75" ht="20" customHeight="1"/>
    <row r="76" ht="20" customHeight="1"/>
    <row r="77" ht="20" customHeight="1"/>
    <row r="78" ht="20" customHeight="1"/>
    <row r="79" ht="20" customHeight="1"/>
    <row r="80" ht="20" customHeight="1"/>
    <row r="81" ht="20" customHeight="1"/>
    <row r="82" ht="20" customHeight="1"/>
    <row r="83" ht="20" customHeight="1"/>
    <row r="84" ht="20" customHeight="1"/>
    <row r="85" ht="20" customHeight="1"/>
    <row r="86" ht="20" customHeight="1"/>
    <row r="87" ht="20" customHeight="1"/>
    <row r="88" ht="20" customHeight="1"/>
    <row r="89" ht="20" customHeight="1"/>
    <row r="90" ht="20" customHeight="1"/>
    <row r="91" ht="20" customHeight="1"/>
    <row r="92" ht="20" customHeight="1"/>
    <row r="93" ht="20" customHeight="1"/>
    <row r="94" ht="20" customHeight="1"/>
  </sheetData>
  <mergeCells count="37">
    <mergeCell ref="A9:H9"/>
    <mergeCell ref="C25:H25"/>
    <mergeCell ref="A24:B24"/>
    <mergeCell ref="C17:F17"/>
    <mergeCell ref="C20:E20"/>
    <mergeCell ref="C15:D15"/>
    <mergeCell ref="C22:E22"/>
    <mergeCell ref="E23:F23"/>
    <mergeCell ref="A11:H11"/>
    <mergeCell ref="A16:A17"/>
    <mergeCell ref="G23:H23"/>
    <mergeCell ref="A1:H1"/>
    <mergeCell ref="C21:E21"/>
    <mergeCell ref="D31:E31"/>
    <mergeCell ref="A26:B29"/>
    <mergeCell ref="F21:G21"/>
    <mergeCell ref="A25:B25"/>
    <mergeCell ref="C27:H27"/>
    <mergeCell ref="F20:G20"/>
    <mergeCell ref="E7:G7"/>
    <mergeCell ref="E5:H5"/>
    <mergeCell ref="A21:B21"/>
    <mergeCell ref="C28:H28"/>
    <mergeCell ref="F22:G22"/>
    <mergeCell ref="A23:B23"/>
    <mergeCell ref="C23:D23"/>
    <mergeCell ref="A22:B22"/>
    <mergeCell ref="A4:B4"/>
    <mergeCell ref="B14:H14"/>
    <mergeCell ref="A20:B20"/>
    <mergeCell ref="C24:H24"/>
    <mergeCell ref="A13:H13"/>
    <mergeCell ref="A19:H19"/>
    <mergeCell ref="C26:H26"/>
    <mergeCell ref="F3:H3"/>
    <mergeCell ref="A31:B31"/>
    <mergeCell ref="C29:H29"/>
  </mergeCells>
  <pageMargins left="0.7086614173228347" right="0.7086614173228347" top="0.7480314960629921" bottom="0.7480314960629921" header="0.3149606299212598" footer="0.3149606299212598"/>
  <pageSetup orientation="portrait" paperSize="9"/>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F29"/>
  <sheetViews>
    <sheetView view="pageBreakPreview" topLeftCell="A4" zoomScale="83" zoomScaleNormal="86" workbookViewId="0">
      <selection activeCell="G27" sqref="G27"/>
    </sheetView>
  </sheetViews>
  <sheetFormatPr baseColWidth="10" defaultColWidth="9" defaultRowHeight="14"/>
  <cols>
    <col width="16.6640625" customWidth="1" style="300" min="1" max="1"/>
    <col width="36.6640625" bestFit="1" customWidth="1" style="300" min="2" max="2"/>
    <col width="9" customWidth="1" style="300" min="3" max="16384"/>
  </cols>
  <sheetData>
    <row r="1" ht="19" customHeight="1">
      <c r="A1" s="299" t="inlineStr">
        <is>
          <t>不動産買付申込書</t>
        </is>
      </c>
    </row>
    <row r="2" ht="25.5" customHeight="1">
      <c r="A2" s="301" t="inlineStr">
        <is>
          <t>売　主　殿</t>
        </is>
      </c>
    </row>
    <row r="3" ht="21" customHeight="1"/>
    <row r="4" ht="21" customHeight="1">
      <c r="A4" s="300" t="inlineStr">
        <is>
          <t>物件の表示</t>
        </is>
      </c>
    </row>
    <row r="5" ht="21" customHeight="1">
      <c r="A5" s="302" t="inlineStr">
        <is>
          <t>所在地</t>
        </is>
      </c>
      <c r="B5" s="303">
        <f>①物件情報入力シート!C4</f>
        <v/>
      </c>
      <c r="C5" s="303" t="n"/>
      <c r="D5" s="303" t="n"/>
      <c r="E5" s="303" t="n"/>
    </row>
    <row r="6" ht="21" customHeight="1">
      <c r="A6" s="302" t="inlineStr">
        <is>
          <t>構  造</t>
        </is>
      </c>
      <c r="B6" s="303" t="n"/>
      <c r="C6" s="303" t="n"/>
      <c r="D6" s="303" t="n"/>
      <c r="E6" s="303" t="n"/>
    </row>
    <row r="7" ht="21" customHeight="1"/>
    <row r="8" ht="21" customHeight="1">
      <c r="A8" s="300" t="inlineStr">
        <is>
          <t>上記記載物件を下記条項により申し込みすることを証明致します。</t>
        </is>
      </c>
    </row>
    <row r="9" ht="21" customHeight="1">
      <c r="A9" s="300" t="inlineStr">
        <is>
          <t>尚、下記条項にて成約に至った場合は、別途売買契約書を作成し、署名・押印致します。</t>
        </is>
      </c>
    </row>
    <row r="10" ht="21" customHeight="1">
      <c r="A10" s="300" t="inlineStr">
        <is>
          <t xml:space="preserve">　　　</t>
        </is>
      </c>
    </row>
    <row r="11" ht="21" customHeight="1">
      <c r="A11" s="302" t="inlineStr">
        <is>
          <t>買付価格</t>
        </is>
      </c>
      <c r="B11" s="1151" t="n">
        <v>1000000</v>
      </c>
      <c r="C11" s="303" t="n"/>
      <c r="D11" s="303" t="n"/>
      <c r="E11" s="303" t="n"/>
    </row>
    <row r="12" ht="21" customHeight="1">
      <c r="A12" s="305" t="inlineStr">
        <is>
          <t>手 付 金</t>
        </is>
      </c>
      <c r="B12" s="306" t="inlineStr">
        <is>
          <t>相談の上、決定</t>
        </is>
      </c>
      <c r="C12" s="307" t="n"/>
      <c r="D12" s="307" t="n"/>
      <c r="E12" s="307" t="n"/>
    </row>
    <row r="13" ht="21" customHeight="1">
      <c r="A13" s="305" t="inlineStr">
        <is>
          <t>契 約 日</t>
        </is>
      </c>
      <c r="B13" s="306" t="inlineStr">
        <is>
          <t>相談の上、決定</t>
        </is>
      </c>
      <c r="C13" s="307" t="n"/>
      <c r="D13" s="307" t="n"/>
      <c r="E13" s="307" t="n"/>
    </row>
    <row r="14" ht="21" customHeight="1">
      <c r="A14" s="305" t="inlineStr">
        <is>
          <t>決 済 日</t>
        </is>
      </c>
      <c r="B14" s="306" t="inlineStr">
        <is>
          <t>相談の上、決定</t>
        </is>
      </c>
      <c r="C14" s="307" t="n"/>
      <c r="D14" s="307" t="n"/>
      <c r="E14" s="307" t="n"/>
    </row>
    <row r="15" ht="21" customHeight="1">
      <c r="A15" s="305" t="inlineStr">
        <is>
          <t>取引条件</t>
        </is>
      </c>
      <c r="B15" s="306" t="inlineStr">
        <is>
          <t>公簿売買</t>
        </is>
      </c>
      <c r="C15" s="307" t="n"/>
      <c r="D15" s="307" t="n"/>
      <c r="E15" s="307" t="n"/>
    </row>
    <row r="16" ht="21" customHeight="1">
      <c r="A16" s="305" t="inlineStr">
        <is>
          <t>有効期限</t>
        </is>
      </c>
      <c r="B16" s="308">
        <f>TODAY()+30</f>
        <v/>
      </c>
      <c r="C16" s="307" t="n"/>
      <c r="D16" s="307" t="n"/>
      <c r="E16" s="307" t="n"/>
    </row>
    <row r="17" ht="21" customHeight="1">
      <c r="A17" s="305" t="inlineStr">
        <is>
          <t>その他</t>
        </is>
      </c>
      <c r="B17" s="306" t="inlineStr">
        <is>
          <t>・現地内見の上、問題ないことを確認の上</t>
        </is>
      </c>
      <c r="C17" s="307" t="n"/>
      <c r="D17" s="307" t="n"/>
      <c r="E17" s="307" t="n"/>
      <c r="F17" s="300" t="inlineStr">
        <is>
          <t xml:space="preserve">　　　　</t>
        </is>
      </c>
    </row>
    <row r="18" ht="21" customHeight="1">
      <c r="B18" s="306" t="inlineStr">
        <is>
          <t>・火災保険契約継承を希望</t>
        </is>
      </c>
      <c r="C18" s="307" t="n"/>
      <c r="D18" s="307" t="n"/>
      <c r="E18" s="307" t="n"/>
    </row>
    <row r="19" ht="21" customHeight="1">
      <c r="B19" s="306" t="inlineStr">
        <is>
          <t xml:space="preserve">・残置物は売主様にてご対応をお願いいたします。　　　　　　　　　　　 </t>
        </is>
      </c>
      <c r="C19" s="307" t="n"/>
      <c r="D19" s="307" t="n"/>
      <c r="E19" s="307" t="n"/>
    </row>
    <row r="20" ht="21" customHeight="1">
      <c r="B20" s="306" t="inlineStr">
        <is>
          <t xml:space="preserve">・境界明示（確定測量）　     </t>
        </is>
      </c>
      <c r="C20" s="307" t="n"/>
      <c r="D20" s="307" t="n"/>
      <c r="E20" s="307" t="n"/>
    </row>
    <row r="21" ht="21" customHeight="1">
      <c r="B21" s="306" t="inlineStr">
        <is>
          <t>・買主希望の条件でのローン特約</t>
        </is>
      </c>
      <c r="C21" s="307" t="n"/>
      <c r="D21" s="307" t="n"/>
      <c r="E21" s="307" t="n"/>
    </row>
    <row r="22" ht="21" customHeight="1"/>
    <row r="23" ht="21" customHeight="1"/>
    <row r="24" ht="21" customHeight="1">
      <c r="A24" s="309">
        <f>TODAY()-3</f>
        <v/>
      </c>
    </row>
    <row r="25" ht="21" customHeight="1"/>
    <row r="26" ht="21" customHeight="1">
      <c r="A26" s="310" t="inlineStr">
        <is>
          <t xml:space="preserve">買付人　　　　　　　　　    　　　　　　　　　　　</t>
        </is>
      </c>
    </row>
    <row r="27" ht="21" customHeight="1">
      <c r="A27" s="300" t="inlineStr">
        <is>
          <t xml:space="preserve">　（住所）茨城県古河市大山1740-223                                                                    　　　</t>
        </is>
      </c>
    </row>
    <row r="28" ht="10.5" customHeight="1">
      <c r="A28" s="300" t="inlineStr">
        <is>
          <t xml:space="preserve">　　　　　　　　　　　　　　　　　　　　　　　　　　　　　</t>
        </is>
      </c>
    </row>
    <row r="29" ht="21" customHeight="1">
      <c r="A29" s="300" t="inlineStr">
        <is>
          <t xml:space="preserve">　（氏名）株式会社一藤　代表取締役　伊東誠一　                                       </t>
        </is>
      </c>
    </row>
  </sheetData>
  <pageMargins left="0.7" right="0.7" top="0.75" bottom="0.75" header="0.3" footer="0.3"/>
  <pageSetup orientation="portrait" paperSize="9"/>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O33"/>
  <sheetViews>
    <sheetView view="pageBreakPreview" zoomScale="60" zoomScaleNormal="75" workbookViewId="0">
      <selection activeCell="AI34" sqref="AI34"/>
    </sheetView>
  </sheetViews>
  <sheetFormatPr baseColWidth="10" defaultColWidth="2.6640625" defaultRowHeight="18" customHeight="1"/>
  <cols>
    <col width="2.6640625" customWidth="1" style="311" min="1" max="14"/>
    <col width="2.6640625" customWidth="1" style="311" min="15" max="18"/>
    <col width="2.6640625" customWidth="1" style="311" min="19" max="27"/>
    <col width="2.6640625" customWidth="1" style="311" min="28" max="29"/>
    <col width="2.6640625" customWidth="1" style="311" min="30" max="16384"/>
  </cols>
  <sheetData>
    <row r="1" ht="45" customHeight="1">
      <c r="A1" s="905" t="inlineStr">
        <is>
          <t>買付証明書</t>
        </is>
      </c>
    </row>
    <row r="2" ht="18" customHeight="1">
      <c r="A2" s="323" t="n"/>
      <c r="B2" s="323" t="n"/>
      <c r="C2" s="323" t="n"/>
      <c r="D2" s="323" t="n"/>
      <c r="E2" s="323" t="n"/>
      <c r="F2" s="323" t="n"/>
      <c r="G2" s="323" t="n"/>
      <c r="H2" s="323" t="n"/>
      <c r="I2" s="323" t="n"/>
      <c r="J2" s="323" t="n"/>
      <c r="K2" s="323" t="n"/>
      <c r="L2" s="323" t="n"/>
      <c r="M2" s="323" t="n"/>
      <c r="N2" s="323" t="n"/>
      <c r="O2" s="323" t="n"/>
      <c r="P2" s="323" t="n"/>
      <c r="Q2" s="323" t="n"/>
      <c r="R2" s="323" t="n"/>
      <c r="S2" s="323" t="n"/>
      <c r="T2" s="323" t="n"/>
      <c r="U2" s="323" t="n"/>
      <c r="V2" s="323" t="n"/>
      <c r="W2" s="323" t="n"/>
      <c r="X2" s="323" t="n"/>
      <c r="Y2" s="323" t="n"/>
      <c r="Z2" s="323" t="n"/>
      <c r="AA2" s="323" t="n"/>
      <c r="AB2" s="323" t="n"/>
      <c r="AC2" s="323" t="n"/>
      <c r="AD2" s="323" t="n"/>
      <c r="AE2" s="323" t="n"/>
      <c r="AF2" s="323" t="n"/>
      <c r="AG2" s="323" t="n"/>
    </row>
    <row r="3" ht="18" customHeight="1">
      <c r="A3" s="909" t="n"/>
      <c r="B3" s="909" t="n"/>
      <c r="C3" s="909" t="n"/>
      <c r="D3" s="909" t="n"/>
      <c r="E3" s="909" t="n"/>
      <c r="F3" s="909" t="n"/>
      <c r="G3" s="909" t="n"/>
      <c r="H3" s="909" t="n"/>
      <c r="I3" s="909" t="n"/>
      <c r="J3" s="909" t="n"/>
      <c r="K3" s="909" t="n"/>
      <c r="L3" s="909" t="n"/>
      <c r="M3" s="909" t="n"/>
      <c r="N3" s="909" t="n"/>
      <c r="O3" s="909" t="n"/>
      <c r="P3" s="909" t="n"/>
      <c r="Q3" s="909" t="n"/>
      <c r="R3" s="909" t="n"/>
      <c r="S3" s="909" t="n"/>
      <c r="T3" s="909" t="n"/>
      <c r="U3" s="909" t="n"/>
      <c r="V3" s="909" t="n"/>
      <c r="W3" s="909" t="n"/>
      <c r="X3" s="325" t="n"/>
      <c r="Y3" s="325" t="n"/>
      <c r="Z3" s="325" t="n"/>
      <c r="AA3" s="909" t="n"/>
      <c r="AB3" s="906">
        <f>TODAY()</f>
        <v/>
      </c>
    </row>
    <row r="4" ht="18" customHeight="1">
      <c r="A4" s="909" t="n"/>
      <c r="B4" s="909" t="n"/>
      <c r="C4" s="909" t="n"/>
      <c r="D4" s="909" t="n"/>
      <c r="E4" s="909" t="n"/>
      <c r="F4" s="909" t="n"/>
      <c r="G4" s="909" t="n"/>
      <c r="H4" s="909" t="n"/>
      <c r="I4" s="909" t="n"/>
      <c r="J4" s="909" t="n"/>
      <c r="K4" s="909" t="n"/>
      <c r="L4" s="909" t="n"/>
      <c r="M4" s="909" t="n"/>
      <c r="N4" s="909" t="n"/>
      <c r="O4" s="909" t="n"/>
      <c r="P4" s="909" t="n"/>
      <c r="Q4" s="909" t="n"/>
      <c r="R4" s="909" t="n"/>
      <c r="S4" s="909" t="n"/>
      <c r="T4" s="909" t="n"/>
      <c r="U4" s="909" t="n"/>
      <c r="V4" s="909" t="n"/>
      <c r="W4" s="909" t="n"/>
      <c r="X4" s="909" t="n"/>
      <c r="Y4" s="909" t="n"/>
      <c r="Z4" s="909" t="n"/>
      <c r="AA4" s="909" t="n"/>
      <c r="AB4" s="909" t="n"/>
      <c r="AC4" s="909" t="n"/>
      <c r="AD4" s="909" t="n"/>
      <c r="AE4" s="909" t="n"/>
      <c r="AF4" s="909" t="n"/>
      <c r="AG4" s="909" t="n"/>
    </row>
    <row r="5" ht="18" customHeight="1">
      <c r="A5" s="908" t="inlineStr">
        <is>
          <t>売主</t>
        </is>
      </c>
      <c r="M5" s="910" t="inlineStr">
        <is>
          <t>様</t>
        </is>
      </c>
      <c r="O5" s="909" t="n"/>
      <c r="P5" s="909" t="n"/>
      <c r="Q5" s="909" t="n"/>
      <c r="R5" s="909" t="n"/>
      <c r="S5" s="909" t="n"/>
      <c r="T5" s="909" t="n"/>
      <c r="U5" s="909" t="n"/>
      <c r="V5" s="909" t="n"/>
      <c r="W5" s="909" t="n"/>
      <c r="X5" s="909" t="n"/>
      <c r="Y5" s="909" t="n"/>
      <c r="Z5" s="909" t="n"/>
      <c r="AA5" s="909" t="n"/>
      <c r="AB5" s="909" t="n"/>
      <c r="AC5" s="909" t="n"/>
      <c r="AD5" s="909" t="n"/>
      <c r="AE5" s="909" t="n"/>
      <c r="AF5" s="909" t="n"/>
      <c r="AG5" s="909" t="n"/>
    </row>
    <row r="6" ht="18" customHeight="1">
      <c r="A6" s="1055" t="n"/>
      <c r="B6" s="1055" t="n"/>
      <c r="C6" s="1055" t="n"/>
      <c r="D6" s="1055" t="n"/>
      <c r="E6" s="1055" t="n"/>
      <c r="F6" s="1055" t="n"/>
      <c r="G6" s="1055" t="n"/>
      <c r="H6" s="1055" t="n"/>
      <c r="I6" s="1055" t="n"/>
      <c r="J6" s="1055" t="n"/>
      <c r="K6" s="1055" t="n"/>
      <c r="L6" s="1055" t="n"/>
      <c r="M6" s="1055" t="n"/>
      <c r="N6" s="1055" t="n"/>
      <c r="O6" s="909" t="n"/>
      <c r="P6" s="909" t="n"/>
      <c r="Q6" s="909" t="n"/>
      <c r="R6" s="909" t="n"/>
      <c r="S6" s="909" t="n"/>
      <c r="T6" s="909" t="n"/>
      <c r="U6" s="1152" t="inlineStr">
        <is>
          <t>住所
　　　埼玉県狭山市水野1013-16</t>
        </is>
      </c>
    </row>
    <row r="7" ht="18" customHeight="1">
      <c r="A7" s="912" t="n"/>
      <c r="B7" s="912" t="n"/>
      <c r="C7" s="912" t="n"/>
      <c r="D7" s="912" t="n"/>
      <c r="E7" s="912" t="n"/>
      <c r="F7" s="912" t="n"/>
      <c r="G7" s="912" t="n"/>
      <c r="H7" s="912" t="n"/>
      <c r="I7" s="912" t="n"/>
      <c r="J7" s="912" t="n"/>
      <c r="K7" s="912" t="n"/>
      <c r="L7" s="912" t="n"/>
      <c r="M7" s="909" t="n"/>
      <c r="N7" s="909" t="n"/>
      <c r="O7" s="909" t="n"/>
      <c r="P7" s="909" t="n"/>
      <c r="Q7" s="909" t="n"/>
      <c r="R7" s="909" t="n"/>
      <c r="S7" s="909" t="n"/>
      <c r="T7" s="909" t="n"/>
      <c r="U7" s="1055" t="n"/>
      <c r="V7" s="1055" t="n"/>
      <c r="W7" s="1055" t="n"/>
      <c r="X7" s="1055" t="n"/>
      <c r="Y7" s="1055" t="n"/>
      <c r="Z7" s="1055" t="n"/>
      <c r="AA7" s="1055" t="n"/>
      <c r="AB7" s="1055" t="n"/>
      <c r="AC7" s="1055" t="n"/>
      <c r="AD7" s="1055" t="n"/>
      <c r="AE7" s="1055" t="n"/>
      <c r="AF7" s="1055" t="n"/>
      <c r="AG7" s="1055" t="n"/>
    </row>
    <row r="8" ht="18" customHeight="1">
      <c r="A8" s="909" t="n"/>
      <c r="B8" s="909" t="n"/>
      <c r="C8" s="909" t="n"/>
      <c r="D8" s="909" t="n"/>
      <c r="E8" s="909" t="n"/>
      <c r="F8" s="909" t="n"/>
      <c r="G8" s="909" t="n"/>
      <c r="H8" s="909" t="n"/>
      <c r="I8" s="909" t="n"/>
      <c r="J8" s="909" t="n"/>
      <c r="K8" s="909" t="n"/>
      <c r="L8" s="909" t="n"/>
      <c r="M8" s="909" t="n"/>
      <c r="N8" s="909" t="n"/>
      <c r="O8" s="909" t="n"/>
      <c r="P8" s="909" t="n"/>
      <c r="Q8" s="909" t="n"/>
      <c r="R8" s="909" t="n"/>
      <c r="S8" s="909" t="n"/>
      <c r="T8" s="909" t="n"/>
      <c r="U8" s="1153" t="inlineStr">
        <is>
          <t>氏名　有限会社フジタケ
　　　佐藤　玲二</t>
        </is>
      </c>
      <c r="V8" s="1045" t="n"/>
      <c r="W8" s="1045" t="n"/>
      <c r="X8" s="1045" t="n"/>
      <c r="Y8" s="1045" t="n"/>
      <c r="Z8" s="1045" t="n"/>
      <c r="AA8" s="1045" t="n"/>
      <c r="AB8" s="1045" t="n"/>
      <c r="AC8" s="1045" t="n"/>
      <c r="AD8" s="1045" t="n"/>
      <c r="AE8" s="1045" t="n"/>
      <c r="AF8" s="1045" t="n"/>
      <c r="AG8" s="1154" t="inlineStr">
        <is>
          <t>印</t>
        </is>
      </c>
    </row>
    <row r="9" ht="18" customHeight="1">
      <c r="A9" s="909" t="n"/>
      <c r="B9" s="909" t="n"/>
      <c r="C9" s="909" t="n"/>
      <c r="D9" s="909" t="n"/>
      <c r="E9" s="909" t="n"/>
      <c r="F9" s="909" t="n"/>
      <c r="G9" s="909" t="n"/>
      <c r="H9" s="909" t="n"/>
      <c r="I9" s="909" t="n"/>
      <c r="J9" s="909" t="n"/>
      <c r="K9" s="909" t="n"/>
      <c r="L9" s="909" t="n"/>
      <c r="M9" s="909" t="n"/>
      <c r="N9" s="909" t="n"/>
      <c r="O9" s="909" t="n"/>
      <c r="P9" s="909" t="n"/>
      <c r="Q9" s="909" t="n"/>
      <c r="R9" s="909" t="n"/>
      <c r="S9" s="909" t="n"/>
      <c r="T9" s="909" t="n"/>
      <c r="U9" s="1055" t="n"/>
      <c r="V9" s="1055" t="n"/>
      <c r="W9" s="1055" t="n"/>
      <c r="X9" s="1055" t="n"/>
      <c r="Y9" s="1055" t="n"/>
      <c r="Z9" s="1055" t="n"/>
      <c r="AA9" s="1055" t="n"/>
      <c r="AB9" s="1055" t="n"/>
      <c r="AC9" s="1055" t="n"/>
      <c r="AD9" s="1055" t="n"/>
      <c r="AE9" s="1055" t="n"/>
      <c r="AF9" s="1055" t="n"/>
      <c r="AG9" s="1055" t="n"/>
    </row>
    <row r="10" ht="18" customHeight="1">
      <c r="A10" s="909" t="n"/>
      <c r="B10" s="909" t="n"/>
      <c r="C10" s="909" t="n"/>
      <c r="D10" s="909" t="n"/>
      <c r="E10" s="909" t="n"/>
      <c r="F10" s="909" t="n"/>
      <c r="G10" s="909" t="n"/>
      <c r="H10" s="909" t="n"/>
      <c r="I10" s="909" t="n"/>
      <c r="J10" s="909" t="n"/>
      <c r="K10" s="909" t="n"/>
      <c r="L10" s="909" t="n"/>
      <c r="M10" s="909" t="n"/>
      <c r="N10" s="909" t="n"/>
      <c r="O10" s="909" t="n"/>
      <c r="P10" s="909" t="n"/>
      <c r="Q10" s="909" t="n"/>
      <c r="R10" s="909" t="n"/>
      <c r="S10" s="909" t="n"/>
      <c r="T10" s="909" t="n"/>
      <c r="U10" s="909" t="n"/>
      <c r="V10" s="909" t="n"/>
      <c r="W10" s="909" t="n"/>
      <c r="X10" s="909" t="n"/>
      <c r="Y10" s="909" t="n"/>
      <c r="Z10" s="909" t="n"/>
      <c r="AA10" s="909" t="n"/>
      <c r="AB10" s="909" t="n"/>
      <c r="AC10" s="909" t="n"/>
      <c r="AD10" s="909" t="n"/>
      <c r="AE10" s="909" t="n"/>
      <c r="AF10" s="909" t="n"/>
      <c r="AG10" s="909" t="n"/>
    </row>
    <row r="11" ht="18" customHeight="1">
      <c r="A11" s="909" t="n"/>
      <c r="B11" s="909" t="n"/>
      <c r="C11" s="909" t="n"/>
      <c r="D11" s="909" t="n"/>
      <c r="E11" s="909" t="n"/>
      <c r="F11" s="909" t="n"/>
      <c r="G11" s="909" t="n"/>
      <c r="H11" s="909" t="n"/>
      <c r="I11" s="909" t="n"/>
      <c r="J11" s="909" t="n"/>
      <c r="K11" s="909" t="n"/>
      <c r="L11" s="909" t="n"/>
      <c r="M11" s="909" t="n"/>
      <c r="N11" s="909" t="n"/>
      <c r="O11" s="909" t="n"/>
      <c r="P11" s="909" t="n"/>
      <c r="Q11" s="909" t="n"/>
      <c r="R11" s="909" t="n"/>
      <c r="S11" s="909" t="n"/>
      <c r="T11" s="909" t="n"/>
      <c r="U11" s="909" t="n"/>
      <c r="V11" s="909" t="n"/>
      <c r="W11" s="909" t="n"/>
      <c r="X11" s="909" t="n"/>
      <c r="Y11" s="909" t="n"/>
      <c r="Z11" s="909" t="n"/>
      <c r="AA11" s="909" t="n"/>
      <c r="AB11" s="909" t="n"/>
      <c r="AC11" s="909" t="n"/>
      <c r="AD11" s="909" t="n"/>
      <c r="AE11" s="909" t="n"/>
      <c r="AF11" s="909" t="n"/>
      <c r="AG11" s="909" t="n"/>
    </row>
    <row r="12" ht="18" customHeight="1">
      <c r="A12" s="909" t="n"/>
      <c r="B12" s="909" t="inlineStr">
        <is>
          <t>私は、下記不動産を、下記の条件にて購入したく、買い付けることを証明いたします。</t>
        </is>
      </c>
      <c r="C12" s="909" t="n"/>
      <c r="D12" s="909" t="n"/>
      <c r="E12" s="909" t="n"/>
      <c r="F12" s="909" t="n"/>
      <c r="G12" s="909" t="n"/>
      <c r="H12" s="909" t="n"/>
      <c r="I12" s="909" t="n"/>
      <c r="J12" s="909" t="n"/>
      <c r="K12" s="909" t="n"/>
      <c r="L12" s="909" t="n"/>
      <c r="M12" s="909" t="n"/>
      <c r="N12" s="909" t="n"/>
      <c r="O12" s="909" t="n"/>
      <c r="P12" s="909" t="n"/>
      <c r="Q12" s="909" t="n"/>
      <c r="R12" s="909" t="n"/>
      <c r="S12" s="909" t="n"/>
      <c r="T12" s="909" t="n"/>
      <c r="U12" s="909" t="n"/>
      <c r="V12" s="909" t="n"/>
      <c r="W12" s="909" t="n"/>
      <c r="X12" s="909" t="n"/>
      <c r="Y12" s="909" t="n"/>
      <c r="Z12" s="328" t="n"/>
      <c r="AA12" s="328" t="n"/>
      <c r="AB12" s="328" t="n"/>
      <c r="AC12" s="328" t="n"/>
      <c r="AD12" s="328" t="n"/>
      <c r="AE12" s="909" t="n"/>
      <c r="AF12" s="909" t="n"/>
      <c r="AG12" s="909" t="n"/>
      <c r="AL12" s="312" t="n"/>
      <c r="AM12" s="312" t="n"/>
      <c r="AN12" s="312" t="n"/>
      <c r="AO12" s="312" t="n"/>
    </row>
    <row r="13" ht="18" customHeight="1">
      <c r="A13" s="909" t="n"/>
      <c r="B13" s="909" t="n"/>
      <c r="C13" s="909" t="n"/>
      <c r="D13" s="909" t="n"/>
      <c r="E13" s="909" t="n"/>
      <c r="F13" s="909" t="n"/>
      <c r="G13" s="909" t="n"/>
      <c r="H13" s="909" t="n"/>
      <c r="I13" s="909" t="n"/>
      <c r="J13" s="909" t="n"/>
      <c r="K13" s="909" t="n"/>
      <c r="L13" s="909" t="n"/>
      <c r="M13" s="909" t="n"/>
      <c r="N13" s="909" t="n"/>
      <c r="O13" s="909" t="n"/>
      <c r="P13" s="909" t="n"/>
      <c r="Q13" s="909" t="n"/>
      <c r="R13" s="909" t="n"/>
      <c r="S13" s="909" t="n"/>
      <c r="T13" s="909" t="n"/>
      <c r="U13" s="909" t="n"/>
      <c r="V13" s="909" t="n"/>
      <c r="W13" s="909" t="n"/>
      <c r="X13" s="909" t="n"/>
      <c r="Y13" s="909" t="n"/>
      <c r="Z13" s="328" t="n"/>
      <c r="AA13" s="328" t="n"/>
      <c r="AB13" s="328" t="n"/>
      <c r="AC13" s="328" t="n"/>
      <c r="AD13" s="328" t="n"/>
      <c r="AE13" s="909" t="n"/>
      <c r="AF13" s="909" t="n"/>
      <c r="AG13" s="909" t="n"/>
      <c r="AL13" s="312" t="n"/>
      <c r="AM13" s="312" t="n"/>
      <c r="AN13" s="312" t="n"/>
      <c r="AO13" s="312" t="n"/>
    </row>
    <row r="14" ht="18" customHeight="1">
      <c r="A14" s="909" t="n"/>
      <c r="B14" s="909" t="n"/>
      <c r="C14" s="909" t="n"/>
      <c r="D14" s="909" t="n"/>
      <c r="E14" s="909" t="n"/>
      <c r="F14" s="909" t="n"/>
      <c r="G14" s="909" t="n"/>
      <c r="H14" s="909" t="n"/>
      <c r="I14" s="909" t="n"/>
      <c r="J14" s="909" t="n"/>
      <c r="K14" s="909" t="n"/>
      <c r="L14" s="909" t="n"/>
      <c r="M14" s="909" t="n"/>
      <c r="N14" s="909" t="n"/>
      <c r="O14" s="909" t="n"/>
      <c r="P14" s="909" t="n"/>
      <c r="Q14" s="909" t="inlineStr">
        <is>
          <t>記</t>
        </is>
      </c>
      <c r="R14" s="909" t="n"/>
      <c r="S14" s="909" t="n"/>
      <c r="T14" s="909" t="n"/>
      <c r="U14" s="909" t="n"/>
      <c r="V14" s="909" t="n"/>
      <c r="W14" s="909" t="n"/>
      <c r="X14" s="909" t="n"/>
      <c r="Y14" s="909" t="n"/>
      <c r="Z14" s="328" t="n"/>
      <c r="AA14" s="328" t="n"/>
      <c r="AB14" s="328" t="n"/>
      <c r="AC14" s="328" t="n"/>
      <c r="AD14" s="328" t="n"/>
      <c r="AE14" s="909" t="n"/>
      <c r="AF14" s="909" t="n"/>
      <c r="AG14" s="909" t="n"/>
      <c r="AL14" s="312" t="n"/>
      <c r="AM14" s="312" t="n"/>
      <c r="AN14" s="312" t="n"/>
      <c r="AO14" s="312" t="n"/>
    </row>
    <row r="15" ht="18" customHeight="1">
      <c r="A15" s="909" t="n"/>
      <c r="B15" s="909" t="n"/>
      <c r="C15" s="909" t="n"/>
      <c r="D15" s="909" t="n"/>
      <c r="E15" s="909" t="n"/>
      <c r="F15" s="909" t="n"/>
      <c r="G15" s="909" t="n"/>
      <c r="H15" s="909" t="n"/>
      <c r="I15" s="909" t="n"/>
      <c r="J15" s="909" t="n"/>
      <c r="K15" s="909" t="n"/>
      <c r="L15" s="909" t="n"/>
      <c r="M15" s="909" t="n"/>
      <c r="N15" s="909" t="n"/>
      <c r="O15" s="909" t="n"/>
      <c r="P15" s="909" t="n"/>
      <c r="Q15" s="909" t="n"/>
      <c r="R15" s="909" t="n"/>
      <c r="S15" s="909" t="n"/>
      <c r="T15" s="909" t="n"/>
      <c r="U15" s="909" t="n"/>
      <c r="V15" s="909" t="n"/>
      <c r="W15" s="909" t="n"/>
      <c r="X15" s="909" t="n"/>
      <c r="Y15" s="909" t="n"/>
      <c r="Z15" s="328" t="n"/>
      <c r="AA15" s="328" t="n"/>
      <c r="AB15" s="328" t="n"/>
      <c r="AC15" s="328" t="n"/>
      <c r="AD15" s="328" t="n"/>
      <c r="AE15" s="909" t="n"/>
      <c r="AF15" s="909" t="n"/>
      <c r="AG15" s="909" t="n"/>
      <c r="AL15" s="312" t="n"/>
      <c r="AM15" s="312" t="n"/>
      <c r="AN15" s="312" t="n"/>
      <c r="AO15" s="312" t="n"/>
    </row>
    <row r="16" ht="25.25" customHeight="1">
      <c r="A16" s="909" t="inlineStr">
        <is>
          <t>１．物件</t>
        </is>
      </c>
      <c r="B16" s="909" t="n"/>
      <c r="C16" s="909" t="n"/>
      <c r="D16" s="909" t="n"/>
      <c r="E16" s="909" t="n"/>
      <c r="F16" s="909" t="n"/>
      <c r="G16" s="892" t="inlineStr">
        <is>
          <t>所　在</t>
        </is>
      </c>
      <c r="H16" s="936" t="n"/>
      <c r="I16" s="936" t="n"/>
      <c r="J16" s="329" t="n"/>
      <c r="K16" s="893">
        <f>①物件情報入力シート!C4</f>
        <v/>
      </c>
      <c r="L16" s="936" t="n"/>
      <c r="M16" s="936" t="n"/>
      <c r="N16" s="936" t="n"/>
      <c r="O16" s="936" t="n"/>
      <c r="P16" s="936" t="n"/>
      <c r="Q16" s="936" t="n"/>
      <c r="R16" s="936" t="n"/>
      <c r="S16" s="936" t="n"/>
      <c r="T16" s="936" t="n"/>
      <c r="U16" s="936" t="n"/>
      <c r="V16" s="936" t="n"/>
      <c r="W16" s="936" t="n"/>
      <c r="X16" s="936" t="n"/>
      <c r="Y16" s="936" t="n"/>
      <c r="Z16" s="936" t="n"/>
      <c r="AA16" s="936" t="n"/>
      <c r="AB16" s="936" t="n"/>
      <c r="AC16" s="936" t="n"/>
      <c r="AD16" s="936" t="n"/>
      <c r="AE16" s="936" t="n"/>
      <c r="AF16" s="936" t="n"/>
      <c r="AG16" s="936" t="n"/>
    </row>
    <row r="17" ht="25.25" customHeight="1">
      <c r="A17" s="909" t="n"/>
      <c r="B17" s="909" t="n"/>
      <c r="C17" s="909" t="n"/>
      <c r="D17" s="909" t="n"/>
      <c r="E17" s="909" t="n"/>
      <c r="F17" s="909" t="n"/>
      <c r="G17" s="892" t="inlineStr">
        <is>
          <t>土　地</t>
        </is>
      </c>
      <c r="H17" s="936" t="n"/>
      <c r="I17" s="936" t="n"/>
      <c r="J17" s="329" t="n"/>
      <c r="K17" s="892">
        <f>①物件情報入力シート!C5</f>
        <v/>
      </c>
      <c r="L17" s="936" t="n"/>
      <c r="M17" s="936" t="n"/>
      <c r="N17" s="936" t="n"/>
      <c r="O17" s="936" t="n"/>
      <c r="P17" s="329" t="inlineStr">
        <is>
          <t>㎡</t>
        </is>
      </c>
      <c r="Q17" s="329" t="inlineStr">
        <is>
          <t>（</t>
        </is>
      </c>
      <c r="R17" s="1155">
        <f>K17/3.30578</f>
        <v/>
      </c>
      <c r="S17" s="936" t="n"/>
      <c r="T17" s="936" t="n"/>
      <c r="U17" s="936" t="n"/>
      <c r="V17" s="329" t="inlineStr">
        <is>
          <t>坪</t>
        </is>
      </c>
      <c r="W17" s="329" t="inlineStr">
        <is>
          <t>）</t>
        </is>
      </c>
      <c r="X17" s="329" t="n"/>
      <c r="Y17" s="329" t="n"/>
      <c r="Z17" s="329" t="n"/>
      <c r="AA17" s="330" t="n"/>
      <c r="AB17" s="330" t="n"/>
      <c r="AC17" s="330" t="n"/>
      <c r="AD17" s="330" t="n"/>
      <c r="AE17" s="330" t="n"/>
      <c r="AF17" s="329" t="n"/>
      <c r="AG17" s="329" t="n"/>
    </row>
    <row r="18" ht="25.25" customHeight="1">
      <c r="A18" s="909" t="n"/>
      <c r="B18" s="909" t="n"/>
      <c r="C18" s="909" t="n"/>
      <c r="D18" s="909" t="n"/>
      <c r="E18" s="909" t="n"/>
      <c r="F18" s="909" t="n"/>
      <c r="G18" s="895" t="inlineStr">
        <is>
          <t>建　物</t>
        </is>
      </c>
      <c r="H18" s="1055" t="n"/>
      <c r="I18" s="1055" t="n"/>
      <c r="J18" s="910" t="n"/>
      <c r="K18" s="892">
        <f>①物件情報入力シート!C17+①物件情報入力シート!C18+①物件情報入力シート!C19</f>
        <v/>
      </c>
      <c r="L18" s="936" t="n"/>
      <c r="M18" s="936" t="n"/>
      <c r="N18" s="936" t="n"/>
      <c r="O18" s="936" t="n"/>
      <c r="P18" s="329" t="inlineStr">
        <is>
          <t>㎡</t>
        </is>
      </c>
      <c r="Q18" s="329" t="inlineStr">
        <is>
          <t>（</t>
        </is>
      </c>
      <c r="R18" s="1155">
        <f>K18/3.30578</f>
        <v/>
      </c>
      <c r="S18" s="936" t="n"/>
      <c r="T18" s="936" t="n"/>
      <c r="U18" s="936" t="n"/>
      <c r="V18" s="329" t="inlineStr">
        <is>
          <t>坪</t>
        </is>
      </c>
      <c r="W18" s="329" t="inlineStr">
        <is>
          <t>）</t>
        </is>
      </c>
      <c r="X18" s="910" t="n"/>
      <c r="Y18" s="910" t="n"/>
      <c r="Z18" s="910" t="n"/>
      <c r="AA18" s="331" t="n"/>
      <c r="AB18" s="331" t="n"/>
      <c r="AC18" s="331" t="n"/>
      <c r="AD18" s="331" t="n"/>
      <c r="AE18" s="331" t="n"/>
      <c r="AF18" s="910" t="n"/>
      <c r="AG18" s="910" t="n"/>
    </row>
    <row r="19" ht="25.25" customHeight="1">
      <c r="A19" s="909" t="n"/>
      <c r="B19" s="909" t="n"/>
      <c r="C19" s="909" t="n"/>
      <c r="D19" s="909" t="n"/>
      <c r="E19" s="909" t="n"/>
      <c r="F19" s="909" t="n"/>
      <c r="G19" s="909" t="n"/>
      <c r="H19" s="909" t="n"/>
      <c r="I19" s="909" t="n"/>
      <c r="J19" s="909" t="n"/>
      <c r="K19" s="909" t="n"/>
      <c r="L19" s="909" t="n"/>
      <c r="M19" s="909" t="n"/>
      <c r="N19" s="909" t="n"/>
      <c r="O19" s="909" t="n"/>
      <c r="P19" s="909" t="n"/>
      <c r="Q19" s="909" t="n"/>
      <c r="R19" s="909" t="n"/>
      <c r="S19" s="909" t="n"/>
      <c r="T19" s="909" t="n"/>
      <c r="U19" s="909" t="n"/>
      <c r="V19" s="909" t="n"/>
      <c r="W19" s="909" t="n"/>
      <c r="X19" s="909" t="n"/>
      <c r="Y19" s="909" t="n"/>
      <c r="Z19" s="909" t="n"/>
      <c r="AA19" s="909" t="n"/>
      <c r="AB19" s="909" t="n"/>
      <c r="AC19" s="909" t="n"/>
      <c r="AD19" s="909" t="n"/>
      <c r="AE19" s="909" t="n"/>
      <c r="AF19" s="909" t="n"/>
      <c r="AG19" s="909" t="n"/>
    </row>
    <row r="20" ht="25.25" customHeight="1">
      <c r="A20" s="909" t="inlineStr">
        <is>
          <t>２．条件</t>
        </is>
      </c>
      <c r="B20" s="909" t="n"/>
      <c r="C20" s="909" t="n"/>
      <c r="D20" s="909" t="n"/>
      <c r="E20" s="909" t="n"/>
      <c r="F20" s="909" t="n"/>
      <c r="G20" s="909" t="inlineStr">
        <is>
          <t>購入価格</t>
        </is>
      </c>
      <c r="H20" s="909" t="n"/>
      <c r="I20" s="909" t="n"/>
      <c r="J20" s="909" t="n"/>
      <c r="K20" s="909" t="n"/>
      <c r="L20" s="909" t="inlineStr">
        <is>
          <t>金</t>
        </is>
      </c>
      <c r="M20" s="909" t="n"/>
      <c r="N20" s="1156" t="n">
        <v>1350000</v>
      </c>
      <c r="T20" s="909" t="inlineStr">
        <is>
          <t>円也</t>
        </is>
      </c>
      <c r="U20" s="909" t="n"/>
      <c r="V20" s="909" t="n"/>
      <c r="W20" s="909" t="n"/>
      <c r="X20" s="909" t="n"/>
      <c r="Y20" s="909" t="n"/>
      <c r="Z20" s="909" t="n"/>
      <c r="AA20" s="909" t="n"/>
      <c r="AB20" s="909" t="n"/>
      <c r="AC20" s="909" t="n"/>
      <c r="AD20" s="909" t="n"/>
      <c r="AE20" s="909" t="n"/>
      <c r="AF20" s="909" t="n"/>
      <c r="AG20" s="909" t="n"/>
    </row>
    <row r="21" ht="25.25" customHeight="1">
      <c r="A21" s="909" t="n"/>
      <c r="B21" s="909" t="n"/>
      <c r="C21" s="909" t="n"/>
      <c r="D21" s="909" t="n"/>
      <c r="E21" s="909" t="n"/>
      <c r="F21" s="909" t="n"/>
      <c r="G21" s="909" t="inlineStr">
        <is>
          <t>手付金</t>
        </is>
      </c>
      <c r="H21" s="909" t="n"/>
      <c r="I21" s="909" t="n"/>
      <c r="J21" s="909" t="n"/>
      <c r="K21" s="909" t="n"/>
      <c r="L21" s="909" t="inlineStr">
        <is>
          <t>金</t>
        </is>
      </c>
      <c r="M21" s="909" t="n"/>
      <c r="N21" s="897" t="n">
        <v>0</v>
      </c>
      <c r="T21" s="909" t="inlineStr">
        <is>
          <t>円也</t>
        </is>
      </c>
      <c r="U21" s="909" t="n"/>
      <c r="V21" s="909" t="n"/>
      <c r="W21" s="909" t="inlineStr">
        <is>
          <t>※購入価格に充当</t>
        </is>
      </c>
      <c r="X21" s="909" t="n"/>
      <c r="Y21" s="909" t="n"/>
      <c r="Z21" s="909" t="n"/>
      <c r="AA21" s="909" t="n"/>
      <c r="AB21" s="909" t="n"/>
      <c r="AC21" s="909" t="n"/>
      <c r="AD21" s="909" t="n"/>
      <c r="AE21" s="909" t="n"/>
      <c r="AF21" s="909" t="n"/>
      <c r="AG21" s="909" t="n"/>
    </row>
    <row r="22" ht="25.25" customHeight="1">
      <c r="A22" s="909" t="n"/>
      <c r="B22" s="909" t="n"/>
      <c r="C22" s="909" t="n"/>
      <c r="D22" s="909" t="n"/>
      <c r="E22" s="909" t="n"/>
      <c r="F22" s="909" t="n"/>
      <c r="G22" s="909" t="n"/>
      <c r="H22" s="909" t="n"/>
      <c r="I22" s="909" t="n"/>
      <c r="J22" s="909" t="n"/>
      <c r="K22" s="909" t="n"/>
      <c r="L22" s="909" t="n"/>
      <c r="M22" s="909" t="n"/>
      <c r="N22" s="909" t="n"/>
      <c r="O22" s="909" t="n"/>
      <c r="P22" s="909" t="n"/>
      <c r="Q22" s="909" t="n"/>
      <c r="R22" s="909" t="n"/>
      <c r="S22" s="909" t="n"/>
      <c r="T22" s="909" t="n"/>
      <c r="U22" s="909" t="n"/>
      <c r="V22" s="909" t="n"/>
      <c r="W22" s="909" t="n"/>
      <c r="X22" s="909" t="n"/>
      <c r="Y22" s="909" t="n"/>
      <c r="Z22" s="909" t="n"/>
      <c r="AA22" s="909" t="n"/>
      <c r="AB22" s="909" t="n"/>
      <c r="AC22" s="909" t="n"/>
      <c r="AD22" s="909" t="n"/>
      <c r="AE22" s="909" t="n"/>
      <c r="AF22" s="909" t="n"/>
      <c r="AG22" s="909" t="n"/>
      <c r="AL22" s="313" t="n"/>
      <c r="AM22" s="313" t="n"/>
      <c r="AN22" s="313" t="n"/>
      <c r="AO22" s="313" t="n"/>
    </row>
    <row r="23" ht="25.25" customHeight="1">
      <c r="A23" s="909" t="inlineStr">
        <is>
          <t>３．支払方法</t>
        </is>
      </c>
      <c r="B23" s="909" t="n"/>
      <c r="C23" s="909" t="n"/>
      <c r="D23" s="909" t="n"/>
      <c r="E23" s="909" t="n"/>
      <c r="F23" s="909" t="n"/>
      <c r="G23" s="909" t="inlineStr">
        <is>
          <t>・現金</t>
        </is>
      </c>
      <c r="H23" s="909" t="n"/>
      <c r="I23" s="909" t="n"/>
      <c r="J23" s="909" t="n"/>
      <c r="K23" s="909" t="n"/>
      <c r="L23" s="909" t="inlineStr">
        <is>
          <t>・銀行融資</t>
        </is>
      </c>
      <c r="M23" s="909" t="n"/>
      <c r="N23" s="909" t="n"/>
      <c r="O23" s="909" t="n"/>
      <c r="P23" s="909" t="n"/>
      <c r="Q23" s="909" t="n"/>
      <c r="R23" s="909" t="n"/>
      <c r="S23" s="909" t="n"/>
      <c r="T23" s="909" t="n"/>
      <c r="U23" s="909" t="n"/>
      <c r="V23" s="909" t="n"/>
      <c r="W23" s="909" t="n"/>
      <c r="X23" s="909" t="n"/>
      <c r="Y23" s="909" t="n"/>
      <c r="Z23" s="909" t="n"/>
      <c r="AA23" s="909" t="n"/>
      <c r="AB23" s="909" t="n"/>
      <c r="AC23" s="909" t="n"/>
      <c r="AD23" s="909" t="n"/>
      <c r="AE23" s="909" t="n"/>
      <c r="AF23" s="909" t="n"/>
      <c r="AG23" s="909" t="n"/>
      <c r="AL23" s="313" t="n"/>
      <c r="AM23" s="313" t="n"/>
      <c r="AN23" s="313" t="n"/>
      <c r="AO23" s="313" t="n"/>
    </row>
    <row r="24" ht="25.25" customHeight="1">
      <c r="A24" s="909" t="n"/>
      <c r="B24" s="909" t="n"/>
      <c r="C24" s="909" t="n"/>
      <c r="D24" s="909" t="n"/>
      <c r="E24" s="909" t="n"/>
      <c r="F24" s="909" t="n"/>
      <c r="G24" s="909" t="n"/>
      <c r="H24" s="909" t="n"/>
      <c r="I24" s="909" t="n"/>
      <c r="J24" s="909" t="n"/>
      <c r="K24" s="909" t="n"/>
      <c r="L24" s="909" t="n"/>
      <c r="M24" s="909" t="n"/>
      <c r="N24" s="909" t="n"/>
      <c r="O24" s="909" t="n"/>
      <c r="P24" s="909" t="n"/>
      <c r="Q24" s="909" t="n"/>
      <c r="R24" s="909" t="n"/>
      <c r="S24" s="909" t="n"/>
      <c r="T24" s="909" t="n"/>
      <c r="U24" s="909" t="n"/>
      <c r="V24" s="909" t="n"/>
      <c r="W24" s="909" t="n"/>
      <c r="X24" s="909" t="n"/>
      <c r="Y24" s="909" t="n"/>
      <c r="Z24" s="909" t="n"/>
      <c r="AA24" s="909" t="n"/>
      <c r="AB24" s="909" t="n"/>
      <c r="AC24" s="909" t="n"/>
      <c r="AD24" s="909" t="n"/>
      <c r="AE24" s="909" t="n"/>
      <c r="AF24" s="909" t="n"/>
      <c r="AG24" s="909" t="n"/>
      <c r="AL24" s="313" t="n"/>
      <c r="AM24" s="313" t="n"/>
      <c r="AN24" s="313" t="n"/>
      <c r="AO24" s="313" t="n"/>
    </row>
    <row r="25" ht="25.25" customHeight="1">
      <c r="A25" s="909" t="inlineStr">
        <is>
          <t>４．有効期間</t>
        </is>
      </c>
      <c r="B25" s="909" t="n"/>
      <c r="C25" s="909" t="n"/>
      <c r="D25" s="909" t="n"/>
      <c r="E25" s="909" t="n"/>
      <c r="F25" s="909" t="n"/>
      <c r="G25" s="909" t="inlineStr">
        <is>
          <t>本書面の有効期間は、買付提出日より１か月間となります。</t>
        </is>
      </c>
      <c r="H25" s="909" t="n"/>
      <c r="I25" s="909" t="n"/>
      <c r="J25" s="909" t="n"/>
      <c r="K25" s="909" t="n"/>
      <c r="L25" s="909" t="n"/>
      <c r="M25" s="909" t="n"/>
      <c r="N25" s="909" t="n"/>
      <c r="O25" s="332" t="n"/>
      <c r="P25" s="332" t="n"/>
      <c r="Q25" s="332" t="n"/>
      <c r="R25" s="332" t="n"/>
      <c r="S25" s="332" t="n"/>
      <c r="T25" s="332" t="n"/>
      <c r="U25" s="909" t="n"/>
      <c r="V25" s="909" t="n"/>
      <c r="W25" s="909" t="n"/>
      <c r="X25" s="909" t="n"/>
      <c r="Y25" s="909" t="n"/>
      <c r="Z25" s="909" t="n"/>
      <c r="AA25" s="909" t="n"/>
      <c r="AB25" s="909" t="n"/>
      <c r="AC25" s="909" t="n"/>
      <c r="AD25" s="909" t="n"/>
      <c r="AE25" s="909" t="n"/>
      <c r="AF25" s="909" t="n"/>
      <c r="AG25" s="909" t="n"/>
      <c r="AL25" s="313" t="n"/>
      <c r="AM25" s="313" t="n"/>
      <c r="AN25" s="313" t="n"/>
      <c r="AO25" s="313" t="n"/>
    </row>
    <row r="26" ht="25.25" customHeight="1">
      <c r="A26" s="909" t="n"/>
      <c r="B26" s="909" t="n"/>
      <c r="C26" s="909" t="n"/>
      <c r="D26" s="909" t="n"/>
      <c r="E26" s="909" t="n"/>
      <c r="F26" s="909" t="n"/>
      <c r="G26" s="909" t="n"/>
      <c r="H26" s="909" t="n"/>
      <c r="I26" s="909" t="n"/>
      <c r="J26" s="909" t="n"/>
      <c r="K26" s="909" t="n"/>
      <c r="L26" s="909" t="n"/>
      <c r="M26" s="909" t="n"/>
      <c r="N26" s="909" t="n"/>
      <c r="O26" s="909" t="n"/>
      <c r="P26" s="909" t="n"/>
      <c r="Q26" s="909" t="n"/>
      <c r="R26" s="909" t="n"/>
      <c r="S26" s="909" t="n"/>
      <c r="T26" s="909" t="n"/>
      <c r="U26" s="909" t="n"/>
      <c r="V26" s="909" t="n"/>
      <c r="W26" s="909" t="n"/>
      <c r="X26" s="909" t="n"/>
      <c r="Y26" s="909" t="n"/>
      <c r="Z26" s="909" t="n"/>
      <c r="AA26" s="909" t="n"/>
      <c r="AB26" s="909" t="n"/>
      <c r="AC26" s="909" t="n"/>
      <c r="AD26" s="909" t="n"/>
      <c r="AE26" s="909" t="n"/>
      <c r="AF26" s="909" t="n"/>
      <c r="AG26" s="909" t="n"/>
      <c r="AL26" s="313" t="n"/>
      <c r="AM26" s="313" t="n"/>
      <c r="AN26" s="313" t="n"/>
      <c r="AO26" s="313" t="n"/>
    </row>
    <row r="27" ht="25.25" customHeight="1">
      <c r="A27" s="909" t="inlineStr">
        <is>
          <t>５．その他条件</t>
        </is>
      </c>
      <c r="B27" s="909" t="n"/>
      <c r="C27" s="909" t="n"/>
      <c r="D27" s="909" t="n"/>
      <c r="E27" s="909" t="n"/>
      <c r="F27" s="909" t="n"/>
      <c r="G27" s="909" t="n"/>
      <c r="H27" s="909" t="n"/>
      <c r="I27" s="909" t="n"/>
      <c r="J27" s="909" t="n"/>
      <c r="K27" s="909" t="n"/>
      <c r="L27" s="909" t="n"/>
      <c r="M27" s="909" t="n"/>
      <c r="N27" s="909" t="n"/>
      <c r="O27" s="909" t="n"/>
      <c r="P27" s="909" t="n"/>
      <c r="Q27" s="909" t="n"/>
      <c r="R27" s="909" t="n"/>
      <c r="S27" s="909" t="n"/>
      <c r="T27" s="909" t="n"/>
      <c r="U27" s="909" t="n"/>
      <c r="V27" s="909" t="n"/>
      <c r="W27" s="909" t="n"/>
      <c r="X27" s="909" t="n"/>
      <c r="Y27" s="909" t="n"/>
      <c r="Z27" s="909" t="n"/>
      <c r="AA27" s="909" t="n"/>
      <c r="AB27" s="909" t="n"/>
      <c r="AC27" s="909" t="n"/>
      <c r="AD27" s="909" t="n"/>
      <c r="AE27" s="909" t="n"/>
      <c r="AF27" s="909" t="n"/>
      <c r="AG27" s="909" t="n"/>
    </row>
    <row r="28" ht="25.25" customHeight="1">
      <c r="A28" s="898" t="inlineStr">
        <is>
          <t>残置物がある場合はすべて売主様で撤去をお願いいたします。</t>
        </is>
      </c>
      <c r="B28" s="1157" t="n"/>
      <c r="C28" s="1157" t="n"/>
      <c r="D28" s="1157" t="n"/>
      <c r="E28" s="1157" t="n"/>
      <c r="F28" s="1157" t="n"/>
      <c r="G28" s="1157" t="n"/>
      <c r="H28" s="1157" t="n"/>
      <c r="I28" s="1157" t="n"/>
      <c r="J28" s="1157" t="n"/>
      <c r="K28" s="1157" t="n"/>
      <c r="L28" s="1157" t="n"/>
      <c r="M28" s="1157" t="n"/>
      <c r="N28" s="1157" t="n"/>
      <c r="O28" s="1157" t="n"/>
      <c r="P28" s="1157" t="n"/>
      <c r="Q28" s="1157" t="n"/>
      <c r="R28" s="1157" t="n"/>
      <c r="S28" s="1157" t="n"/>
      <c r="T28" s="1157" t="n"/>
      <c r="U28" s="1157" t="n"/>
      <c r="V28" s="1157" t="n"/>
      <c r="W28" s="1157" t="n"/>
      <c r="X28" s="1157" t="n"/>
      <c r="Y28" s="1157" t="n"/>
      <c r="Z28" s="1157" t="n"/>
      <c r="AA28" s="1157" t="n"/>
      <c r="AB28" s="1157" t="n"/>
      <c r="AC28" s="1157" t="n"/>
      <c r="AD28" s="1157" t="n"/>
      <c r="AE28" s="1157" t="n"/>
      <c r="AF28" s="1157" t="n"/>
      <c r="AG28" s="1157" t="n"/>
    </row>
    <row r="29" ht="25.25" customHeight="1">
      <c r="A29" s="899" t="inlineStr">
        <is>
          <t>残置物撤去後に契約決済とします。</t>
        </is>
      </c>
      <c r="B29" s="1158" t="n"/>
      <c r="C29" s="1158" t="n"/>
      <c r="D29" s="1158" t="n"/>
      <c r="E29" s="1158" t="n"/>
      <c r="F29" s="1158" t="n"/>
      <c r="G29" s="1158" t="n"/>
      <c r="H29" s="1158" t="n"/>
      <c r="I29" s="1158" t="n"/>
      <c r="J29" s="1158" t="n"/>
      <c r="K29" s="1158" t="n"/>
      <c r="L29" s="1158" t="n"/>
      <c r="M29" s="1158" t="n"/>
      <c r="N29" s="1158" t="n"/>
      <c r="O29" s="1158" t="n"/>
      <c r="P29" s="1158" t="n"/>
      <c r="Q29" s="1158" t="n"/>
      <c r="R29" s="1158" t="n"/>
      <c r="S29" s="1158" t="n"/>
      <c r="T29" s="1158" t="n"/>
      <c r="U29" s="1158" t="n"/>
      <c r="V29" s="1158" t="n"/>
      <c r="W29" s="1158" t="n"/>
      <c r="X29" s="1158" t="n"/>
      <c r="Y29" s="1158" t="n"/>
      <c r="Z29" s="1158" t="n"/>
      <c r="AA29" s="1158" t="n"/>
      <c r="AB29" s="1158" t="n"/>
      <c r="AC29" s="1158" t="n"/>
      <c r="AD29" s="1158" t="n"/>
      <c r="AE29" s="1158" t="n"/>
      <c r="AF29" s="1158" t="n"/>
      <c r="AG29" s="1158" t="n"/>
    </row>
    <row r="30" ht="25.25" customHeight="1">
      <c r="A30" s="899" t="inlineStr">
        <is>
          <t>残置物撤去後に瑕疵が見られた場合は，買付金額を訂正させていただく場合がございます。</t>
        </is>
      </c>
      <c r="B30" s="1158" t="n"/>
      <c r="C30" s="1158" t="n"/>
      <c r="D30" s="1158" t="n"/>
      <c r="E30" s="1158" t="n"/>
      <c r="F30" s="1158" t="n"/>
      <c r="G30" s="1158" t="n"/>
      <c r="H30" s="1158" t="n"/>
      <c r="I30" s="1158" t="n"/>
      <c r="J30" s="1158" t="n"/>
      <c r="K30" s="1158" t="n"/>
      <c r="L30" s="1158" t="n"/>
      <c r="M30" s="1158" t="n"/>
      <c r="N30" s="1158" t="n"/>
      <c r="O30" s="1158" t="n"/>
      <c r="P30" s="1158" t="n"/>
      <c r="Q30" s="1158" t="n"/>
      <c r="R30" s="1158" t="n"/>
      <c r="S30" s="1158" t="n"/>
      <c r="T30" s="1158" t="n"/>
      <c r="U30" s="1158" t="n"/>
      <c r="V30" s="1158" t="n"/>
      <c r="W30" s="1158" t="n"/>
      <c r="X30" s="1158" t="n"/>
      <c r="Y30" s="1158" t="n"/>
      <c r="Z30" s="1158" t="n"/>
      <c r="AA30" s="1158" t="n"/>
      <c r="AB30" s="1158" t="n"/>
      <c r="AC30" s="1158" t="n"/>
      <c r="AD30" s="1158" t="n"/>
      <c r="AE30" s="1158" t="n"/>
      <c r="AF30" s="1158" t="n"/>
      <c r="AG30" s="1158" t="n"/>
    </row>
    <row r="31" ht="25.25" customHeight="1">
      <c r="A31" s="891" t="inlineStr">
        <is>
          <t>境界非明示で構いません。</t>
        </is>
      </c>
      <c r="B31" s="1159" t="n"/>
      <c r="C31" s="1159" t="n"/>
      <c r="D31" s="1159" t="n"/>
      <c r="E31" s="1159" t="n"/>
      <c r="F31" s="1159" t="n"/>
      <c r="G31" s="1159" t="n"/>
      <c r="H31" s="1159" t="n"/>
      <c r="I31" s="1159" t="n"/>
      <c r="J31" s="1159" t="n"/>
      <c r="K31" s="1159" t="n"/>
      <c r="L31" s="1159" t="n"/>
      <c r="M31" s="1159" t="n"/>
      <c r="N31" s="1159" t="n"/>
      <c r="O31" s="1159" t="n"/>
      <c r="P31" s="1159" t="n"/>
      <c r="Q31" s="1159" t="n"/>
      <c r="R31" s="1159" t="n"/>
      <c r="S31" s="1159" t="n"/>
      <c r="T31" s="1159" t="n"/>
      <c r="U31" s="1159" t="n"/>
      <c r="V31" s="1159" t="n"/>
      <c r="W31" s="1159" t="n"/>
      <c r="X31" s="1159" t="n"/>
      <c r="Y31" s="1159" t="n"/>
      <c r="Z31" s="1159" t="n"/>
      <c r="AA31" s="1159" t="n"/>
      <c r="AB31" s="1159" t="n"/>
      <c r="AC31" s="1159" t="n"/>
      <c r="AD31" s="1159" t="n"/>
      <c r="AE31" s="1159" t="n"/>
      <c r="AF31" s="1159" t="n"/>
      <c r="AG31" s="1159" t="n"/>
    </row>
    <row r="32" ht="18" customHeight="1">
      <c r="A32" s="909" t="n"/>
      <c r="B32" s="909" t="n"/>
      <c r="C32" s="909" t="n"/>
      <c r="D32" s="909" t="n"/>
      <c r="E32" s="909" t="n"/>
      <c r="F32" s="909" t="n"/>
      <c r="G32" s="909" t="n"/>
      <c r="H32" s="909" t="n"/>
      <c r="I32" s="909" t="n"/>
      <c r="J32" s="909" t="n"/>
      <c r="K32" s="909" t="n"/>
      <c r="L32" s="909" t="n"/>
      <c r="M32" s="909" t="n"/>
      <c r="N32" s="909" t="n"/>
      <c r="O32" s="909" t="n"/>
      <c r="P32" s="909" t="n"/>
      <c r="Q32" s="909" t="n"/>
      <c r="R32" s="909" t="n"/>
      <c r="S32" s="909" t="n"/>
      <c r="T32" s="909" t="n"/>
      <c r="U32" s="909" t="n"/>
      <c r="V32" s="909" t="n"/>
      <c r="W32" s="909" t="n"/>
      <c r="X32" s="909" t="n"/>
      <c r="Y32" s="909" t="n"/>
      <c r="Z32" s="909" t="n"/>
      <c r="AA32" s="909" t="n"/>
      <c r="AB32" s="909" t="n"/>
      <c r="AC32" s="909" t="n"/>
      <c r="AD32" s="909" t="n"/>
      <c r="AE32" s="909" t="n"/>
      <c r="AF32" s="909" t="n"/>
      <c r="AG32" s="909" t="n"/>
    </row>
    <row r="33" ht="18" customHeight="1">
      <c r="A33" s="909" t="n"/>
      <c r="B33" s="909" t="n"/>
      <c r="C33" s="909" t="n"/>
      <c r="D33" s="909" t="n"/>
      <c r="E33" s="909" t="n"/>
      <c r="F33" s="909" t="n"/>
      <c r="G33" s="909" t="n"/>
      <c r="H33" s="909" t="n"/>
      <c r="I33" s="909" t="n"/>
      <c r="J33" s="909" t="n"/>
      <c r="K33" s="909" t="n"/>
      <c r="L33" s="909" t="n"/>
      <c r="M33" s="909" t="n"/>
      <c r="N33" s="909" t="n"/>
      <c r="O33" s="909" t="n"/>
      <c r="P33" s="909" t="n"/>
      <c r="Q33" s="909" t="n"/>
      <c r="R33" s="909" t="n"/>
      <c r="S33" s="909" t="n"/>
      <c r="T33" s="909" t="n"/>
      <c r="U33" s="909" t="n"/>
      <c r="V33" s="909" t="n"/>
      <c r="W33" s="909" t="n"/>
      <c r="X33" s="909" t="n"/>
      <c r="Y33" s="909" t="n"/>
      <c r="Z33" s="909" t="n"/>
      <c r="AA33" s="909" t="n"/>
      <c r="AB33" s="909" t="n"/>
      <c r="AC33" s="909" t="n"/>
      <c r="AD33" s="909" t="n"/>
      <c r="AE33" s="909" t="n"/>
      <c r="AF33" s="909" t="inlineStr">
        <is>
          <t>以上</t>
        </is>
      </c>
      <c r="AG33" s="909" t="n"/>
    </row>
  </sheetData>
  <mergeCells count="21">
    <mergeCell ref="U8:AF9"/>
    <mergeCell ref="A1:AG1"/>
    <mergeCell ref="U6:AG7"/>
    <mergeCell ref="N21:S21"/>
    <mergeCell ref="R17:U17"/>
    <mergeCell ref="G18:I18"/>
    <mergeCell ref="K16:AG16"/>
    <mergeCell ref="R18:U18"/>
    <mergeCell ref="G16:I16"/>
    <mergeCell ref="A29:AG29"/>
    <mergeCell ref="AG8:AG9"/>
    <mergeCell ref="AB3:AG3"/>
    <mergeCell ref="M5:N6"/>
    <mergeCell ref="A28:AG28"/>
    <mergeCell ref="N20:S20"/>
    <mergeCell ref="K17:O17"/>
    <mergeCell ref="A31:AG31"/>
    <mergeCell ref="A30:AG30"/>
    <mergeCell ref="A5:L6"/>
    <mergeCell ref="G17:I17"/>
    <mergeCell ref="K18:O18"/>
  </mergeCells>
  <dataValidations count="1">
    <dataValidation sqref="A5:L7 A65540:L65542 A131076:L131078 A196612:L196614 A262148:L262150 A327684:L327686 A393220:L393222 A458756:L458758 A524292:L524294 A589828:L589830 A655364:L655366 A720900:L720902 A786436:L786438 A851972:L851974 A917508:L917510 A983044:L983046 U6:U8 U65541:U65543 U131077:U131079 U196613:U196615 U262149:U262151 U327685:U327687 U393221:U393223 U458757:U458759 U524293:U524295 U589829:U589831 U655365:U655367 U720901:U720903 U786437:U786439 U851973:U851975 U917509:U917511 U983045:U983047 V6:AF7 V65541:AF65542 V131077:AF131078 V196613:AF196614 V262149:AF262150 V327685:AF327686 V393221:AF393222 V458757:AF458758 V524293:AF524294 V589829:AF589830 V655365:AF655366 V720901:AF720902 V786437:AF786438 V851973:AF851974 V917509:AF917510 V983045:AF983046 AG6:AG8 AG65541:AG65543 AG131077:AG131079 AG196613:AG196615 AG262149:AG262151 AG327685:AG327687 AG393221:AG393223 AG458757:AG458759 AG524293:AG524295 AG589829:AG589831 AG655365:AG655367 AG720901:AG720903 AG786437:AG786439 AG851973:AG851975 AG917509:AG917511 AG983045:AG983047 IW5:JH7 IW65540:JH65542 IW131076:JH131078 IW196612:JH196614 IW262148:JH262150 IW327684:JH327686 IW393220:JH393222 IW458756:JH458758 IW524292:JH524294 IW589828:JH589830 IW655364:JH655366 IW720900:JH720902 IW786436:JH786438 IW851972:JH851974 IW917508:JH917510 IW983044:JH983046 JQ6:JQ8 JQ65541:JQ65543 JQ131077:JQ131079 JQ196613:JQ196615 JQ262149:JQ262151 JQ327685:JQ327687 JQ393221:JQ393223 JQ458757:JQ458759 JQ524293:JQ524295 JQ589829:JQ589831 JQ655365:JQ655367 JQ720901:JQ720903 JQ786437:JQ786439 JQ851973:JQ851975 JQ917509:JQ917511 JQ983045:JQ983047 JR6:KB7 JR65541:KB65542 JR131077:KB131078 JR196613:KB196614 JR262149:KB262150 JR327685:KB327686 JR393221:KB393222 JR458757:KB458758 JR524293:KB524294 JR589829:KB589830 JR655365:KB655366 JR720901:KB720902 JR786437:KB786438 JR851973:KB851974 JR917509:KB917510 JR983045:KB983046 KC6:KC8 KC65541:KC65543 KC131077:KC131079 KC196613:KC196615 KC262149:KC262151 KC327685:KC327687 KC393221:KC393223 KC458757:KC458759 KC524293:KC524295 KC589829:KC589831 KC655365:KC655367 KC720901:KC720903 KC786437:KC786439 KC851973:KC851975 KC917509:KC917511 KC983045:KC983047 SS5:TD7 SS65540:TD65542 SS131076:TD131078 SS196612:TD196614 SS262148:TD262150 SS327684:TD327686 SS393220:TD393222 SS458756:TD458758 SS524292:TD524294 SS589828:TD589830 SS655364:TD655366 SS720900:TD720902 SS786436:TD786438 SS851972:TD851974 SS917508:TD917510 SS983044:TD983046 TM6:TM8 TM65541:TM65543 TM131077:TM131079 TM196613:TM196615 TM262149:TM262151 TM327685:TM327687 TM393221:TM393223 TM458757:TM458759 TM524293:TM524295 TM589829:TM589831 TM655365:TM655367 TM720901:TM720903 TM786437:TM786439 TM851973:TM851975 TM917509:TM917511 TM983045:TM983047 TN6:TX7 TN65541:TX65542 TN131077:TX131078 TN196613:TX196614 TN262149:TX262150 TN327685:TX327686 TN393221:TX393222 TN458757:TX458758 TN524293:TX524294 TN589829:TX589830 TN655365:TX655366 TN720901:TX720902 TN786437:TX786438 TN851973:TX851974 TN917509:TX917510 TN983045:TX983046 TY6:TY8 TY65541:TY65543 TY131077:TY131079 TY196613:TY196615 TY262149:TY262151 TY327685:TY327687 TY393221:TY393223 TY458757:TY458759 TY524293:TY524295 TY589829:TY589831 TY655365:TY655367 TY720901:TY720903 TY786437:TY786439 TY851973:TY851975 TY917509:TY917511 TY983045:TY983047 ACO5:ACZ7 ACO65540:ACZ65542 ACO131076:ACZ131078 ACO196612:ACZ196614 ACO262148:ACZ262150 ACO327684:ACZ327686 ACO393220:ACZ393222 ACO458756:ACZ458758 ACO524292:ACZ524294 ACO589828:ACZ589830 ACO655364:ACZ655366 ACO720900:ACZ720902 ACO786436:ACZ786438 ACO851972:ACZ851974 ACO917508:ACZ917510 ACO983044:ACZ983046 ADI6:ADI8 ADI65541:ADI65543 ADI131077:ADI131079 ADI196613:ADI196615 ADI262149:ADI262151 ADI327685:ADI327687 ADI393221:ADI393223 ADI458757:ADI458759 ADI524293:ADI524295 ADI589829:ADI589831 ADI655365:ADI655367 ADI720901:ADI720903 ADI786437:ADI786439 ADI851973:ADI851975 ADI917509:ADI917511 ADI983045:ADI983047 ADJ6:ADT7 ADJ65541:ADT65542 ADJ131077:ADT131078 ADJ196613:ADT196614 ADJ262149:ADT262150 ADJ327685:ADT327686 ADJ393221:ADT393222 ADJ458757:ADT458758 ADJ524293:ADT524294 ADJ589829:ADT589830 ADJ655365:ADT655366 ADJ720901:ADT720902 ADJ786437:ADT786438 ADJ851973:ADT851974 ADJ917509:ADT917510 ADJ983045:ADT983046 ADU6:ADU8 ADU65541:ADU65543 ADU131077:ADU131079 ADU196613:ADU196615 ADU262149:ADU262151 ADU327685:ADU327687 ADU393221:ADU393223 ADU458757:ADU458759 ADU524293:ADU524295 ADU589829:ADU589831 ADU655365:ADU655367 ADU720901:ADU720903 ADU786437:ADU786439 ADU851973:ADU851975 ADU917509:ADU917511 ADU983045:ADU983047 AMK5:AMV7 AMK65540:AMV65542 AMK131076:AMV131078 AMK196612:AMV196614 AMK262148:AMV262150 AMK327684:AMV327686 AMK393220:AMV393222 AMK458756:AMV458758 AMK524292:AMV524294 AMK589828:AMV589830 AMK655364:AMV655366 AMK720900:AMV720902 AMK786436:AMV786438 AMK851972:AMV851974 AMK917508:AMV917510 AMK983044:AMV983046 ANE6:ANE8 ANE65541:ANE65543 ANE131077:ANE131079 ANE196613:ANE196615 ANE262149:ANE262151 ANE327685:ANE327687 ANE393221:ANE393223 ANE458757:ANE458759 ANE524293:ANE524295 ANE589829:ANE589831 ANE655365:ANE655367 ANE720901:ANE720903 ANE786437:ANE786439 ANE851973:ANE851975 ANE917509:ANE917511 ANE983045:ANE983047 ANF6:ANP7 ANF65541:ANP65542 ANF131077:ANP131078 ANF196613:ANP196614 ANF262149:ANP262150 ANF327685:ANP327686 ANF393221:ANP393222 ANF458757:ANP458758 ANF524293:ANP524294 ANF589829:ANP589830 ANF655365:ANP655366 ANF720901:ANP720902 ANF786437:ANP786438 ANF851973:ANP851974 ANF917509:ANP917510 ANF983045:ANP983046 ANQ6:ANQ8 ANQ65541:ANQ65543 ANQ131077:ANQ131079 ANQ196613:ANQ196615 ANQ262149:ANQ262151 ANQ327685:ANQ327687 ANQ393221:ANQ393223 ANQ458757:ANQ458759 ANQ524293:ANQ524295 ANQ589829:ANQ589831 ANQ655365:ANQ655367 ANQ720901:ANQ720903 ANQ786437:ANQ786439 ANQ851973:ANQ851975 ANQ917509:ANQ917511 ANQ983045:ANQ983047 AWG5:AWR7 AWG65540:AWR65542 AWG131076:AWR131078 AWG196612:AWR196614 AWG262148:AWR262150 AWG327684:AWR327686 AWG393220:AWR393222 AWG458756:AWR458758 AWG524292:AWR524294 AWG589828:AWR589830 AWG655364:AWR655366 AWG720900:AWR720902 AWG786436:AWR786438 AWG851972:AWR851974 AWG917508:AWR917510 AWG983044:AWR983046 AXA6:AXA8 AXA65541:AXA65543 AXA131077:AXA131079 AXA196613:AXA196615 AXA262149:AXA262151 AXA327685:AXA327687 AXA393221:AXA393223 AXA458757:AXA458759 AXA524293:AXA524295 AXA589829:AXA589831 AXA655365:AXA655367 AXA720901:AXA720903 AXA786437:AXA786439 AXA851973:AXA851975 AXA917509:AXA917511 AXA983045:AXA983047 AXB6:AXL7 AXB65541:AXL65542 AXB131077:AXL131078 AXB196613:AXL196614 AXB262149:AXL262150 AXB327685:AXL327686 AXB393221:AXL393222 AXB458757:AXL458758 AXB524293:AXL524294 AXB589829:AXL589830 AXB655365:AXL655366 AXB720901:AXL720902 AXB786437:AXL786438 AXB851973:AXL851974 AXB917509:AXL917510 AXB983045:AXL983046 AXM6:AXM8 AXM65541:AXM65543 AXM131077:AXM131079 AXM196613:AXM196615 AXM262149:AXM262151 AXM327685:AXM327687 AXM393221:AXM393223 AXM458757:AXM458759 AXM524293:AXM524295 AXM589829:AXM589831 AXM655365:AXM655367 AXM720901:AXM720903 AXM786437:AXM786439 AXM851973:AXM851975 AXM917509:AXM917511 AXM983045:AXM983047 BGC5:BGN7 BGC65540:BGN65542 BGC131076:BGN131078 BGC196612:BGN196614 BGC262148:BGN262150 BGC327684:BGN327686 BGC393220:BGN393222 BGC458756:BGN458758 BGC524292:BGN524294 BGC589828:BGN589830 BGC655364:BGN655366 BGC720900:BGN720902 BGC786436:BGN786438 BGC851972:BGN851974 BGC917508:BGN917510 BGC983044:BGN983046 BGW6:BGW8 BGW65541:BGW65543 BGW131077:BGW131079 BGW196613:BGW196615 BGW262149:BGW262151 BGW327685:BGW327687 BGW393221:BGW393223 BGW458757:BGW458759 BGW524293:BGW524295 BGW589829:BGW589831 BGW655365:BGW655367 BGW720901:BGW720903 BGW786437:BGW786439 BGW851973:BGW851975 BGW917509:BGW917511 BGW983045:BGW983047 BGX6:BHH7 BGX65541:BHH65542 BGX131077:BHH131078 BGX196613:BHH196614 BGX262149:BHH262150 BGX327685:BHH327686 BGX393221:BHH393222 BGX458757:BHH458758 BGX524293:BHH524294 BGX589829:BHH589830 BGX655365:BHH655366 BGX720901:BHH720902 BGX786437:BHH786438 BGX851973:BHH851974 BGX917509:BHH917510 BGX983045:BHH983046 BHI6:BHI8 BHI65541:BHI65543 BHI131077:BHI131079 BHI196613:BHI196615 BHI262149:BHI262151 BHI327685:BHI327687 BHI393221:BHI393223 BHI458757:BHI458759 BHI524293:BHI524295 BHI589829:BHI589831 BHI655365:BHI655367 BHI720901:BHI720903 BHI786437:BHI786439 BHI851973:BHI851975 BHI917509:BHI917511 BHI983045:BHI983047 BPY5:BQJ7 BPY65540:BQJ65542 BPY131076:BQJ131078 BPY196612:BQJ196614 BPY262148:BQJ262150 BPY327684:BQJ327686 BPY393220:BQJ393222 BPY458756:BQJ458758 BPY524292:BQJ524294 BPY589828:BQJ589830 BPY655364:BQJ655366 BPY720900:BQJ720902 BPY786436:BQJ786438 BPY851972:BQJ851974 BPY917508:BQJ917510 BPY983044:BQJ983046 BQS6:BQS8 BQS65541:BQS65543 BQS131077:BQS131079 BQS196613:BQS196615 BQS262149:BQS262151 BQS327685:BQS327687 BQS393221:BQS393223 BQS458757:BQS458759 BQS524293:BQS524295 BQS589829:BQS589831 BQS655365:BQS655367 BQS720901:BQS720903 BQS786437:BQS786439 BQS851973:BQS851975 BQS917509:BQS917511 BQS983045:BQS983047 BQT6:BRD7 BQT65541:BRD65542 BQT131077:BRD131078 BQT196613:BRD196614 BQT262149:BRD262150 BQT327685:BRD327686 BQT393221:BRD393222 BQT458757:BRD458758 BQT524293:BRD524294 BQT589829:BRD589830 BQT655365:BRD655366 BQT720901:BRD720902 BQT786437:BRD786438 BQT851973:BRD851974 BQT917509:BRD917510 BQT983045:BRD983046 BRE6:BRE8 BRE65541:BRE65543 BRE131077:BRE131079 BRE196613:BRE196615 BRE262149:BRE262151 BRE327685:BRE327687 BRE393221:BRE393223 BRE458757:BRE458759 BRE524293:BRE524295 BRE589829:BRE589831 BRE655365:BRE655367 BRE720901:BRE720903 BRE786437:BRE786439 BRE851973:BRE851975 BRE917509:BRE917511 BRE983045:BRE983047 BZU5:CAF7 BZU65540:CAF65542 BZU131076:CAF131078 BZU196612:CAF196614 BZU262148:CAF262150 BZU327684:CAF327686 BZU393220:CAF393222 BZU458756:CAF458758 BZU524292:CAF524294 BZU589828:CAF589830 BZU655364:CAF655366 BZU720900:CAF720902 BZU786436:CAF786438 BZU851972:CAF851974 BZU917508:CAF917510 BZU983044:CAF983046 CAO6:CAO8 CAO65541:CAO65543 CAO131077:CAO131079 CAO196613:CAO196615 CAO262149:CAO262151 CAO327685:CAO327687 CAO393221:CAO393223 CAO458757:CAO458759 CAO524293:CAO524295 CAO589829:CAO589831 CAO655365:CAO655367 CAO720901:CAO720903 CAO786437:CAO786439 CAO851973:CAO851975 CAO917509:CAO917511 CAO983045:CAO983047 CAP6:CAZ7 CAP65541:CAZ65542 CAP131077:CAZ131078 CAP196613:CAZ196614 CAP262149:CAZ262150 CAP327685:CAZ327686 CAP393221:CAZ393222 CAP458757:CAZ458758 CAP524293:CAZ524294 CAP589829:CAZ589830 CAP655365:CAZ655366 CAP720901:CAZ720902 CAP786437:CAZ786438 CAP851973:CAZ851974 CAP917509:CAZ917510 CAP983045:CAZ983046 CBA6:CBA8 CBA65541:CBA65543 CBA131077:CBA131079 CBA196613:CBA196615 CBA262149:CBA262151 CBA327685:CBA327687 CBA393221:CBA393223 CBA458757:CBA458759 CBA524293:CBA524295 CBA589829:CBA589831 CBA655365:CBA655367 CBA720901:CBA720903 CBA786437:CBA786439 CBA851973:CBA851975 CBA917509:CBA917511 CBA983045:CBA983047 CJQ5:CKB7 CJQ65540:CKB65542 CJQ131076:CKB131078 CJQ196612:CKB196614 CJQ262148:CKB262150 CJQ327684:CKB327686 CJQ393220:CKB393222 CJQ458756:CKB458758 CJQ524292:CKB524294 CJQ589828:CKB589830 CJQ655364:CKB655366 CJQ720900:CKB720902 CJQ786436:CKB786438 CJQ851972:CKB851974 CJQ917508:CKB917510 CJQ983044:CKB983046 CKK6:CKK8 CKK65541:CKK65543 CKK131077:CKK131079 CKK196613:CKK196615 CKK262149:CKK262151 CKK327685:CKK327687 CKK393221:CKK393223 CKK458757:CKK458759 CKK524293:CKK524295 CKK589829:CKK589831 CKK655365:CKK655367 CKK720901:CKK720903 CKK786437:CKK786439 CKK851973:CKK851975 CKK917509:CKK917511 CKK983045:CKK983047 CKL6:CKV7 CKL65541:CKV65542 CKL131077:CKV131078 CKL196613:CKV196614 CKL262149:CKV262150 CKL327685:CKV327686 CKL393221:CKV393222 CKL458757:CKV458758 CKL524293:CKV524294 CKL589829:CKV589830 CKL655365:CKV655366 CKL720901:CKV720902 CKL786437:CKV786438 CKL851973:CKV851974 CKL917509:CKV917510 CKL983045:CKV983046 CKW6:CKW8 CKW65541:CKW65543 CKW131077:CKW131079 CKW196613:CKW196615 CKW262149:CKW262151 CKW327685:CKW327687 CKW393221:CKW393223 CKW458757:CKW458759 CKW524293:CKW524295 CKW589829:CKW589831 CKW655365:CKW655367 CKW720901:CKW720903 CKW786437:CKW786439 CKW851973:CKW851975 CKW917509:CKW917511 CKW983045:CKW983047 CTM5:CTX7 CTM65540:CTX65542 CTM131076:CTX131078 CTM196612:CTX196614 CTM262148:CTX262150 CTM327684:CTX327686 CTM393220:CTX393222 CTM458756:CTX458758 CTM524292:CTX524294 CTM589828:CTX589830 CTM655364:CTX655366 CTM720900:CTX720902 CTM786436:CTX786438 CTM851972:CTX851974 CTM917508:CTX917510 CTM983044:CTX983046 CUG6:CUG8 CUG65541:CUG65543 CUG131077:CUG131079 CUG196613:CUG196615 CUG262149:CUG262151 CUG327685:CUG327687 CUG393221:CUG393223 CUG458757:CUG458759 CUG524293:CUG524295 CUG589829:CUG589831 CUG655365:CUG655367 CUG720901:CUG720903 CUG786437:CUG786439 CUG851973:CUG851975 CUG917509:CUG917511 CUG983045:CUG983047 CUH6:CUR7 CUH65541:CUR65542 CUH131077:CUR131078 CUH196613:CUR196614 CUH262149:CUR262150 CUH327685:CUR327686 CUH393221:CUR393222 CUH458757:CUR458758 CUH524293:CUR524294 CUH589829:CUR589830 CUH655365:CUR655366 CUH720901:CUR720902 CUH786437:CUR786438 CUH851973:CUR851974 CUH917509:CUR917510 CUH983045:CUR983046 CUS6:CUS8 CUS65541:CUS65543 CUS131077:CUS131079 CUS196613:CUS196615 CUS262149:CUS262151 CUS327685:CUS327687 CUS393221:CUS393223 CUS458757:CUS458759 CUS524293:CUS524295 CUS589829:CUS589831 CUS655365:CUS655367 CUS720901:CUS720903 CUS786437:CUS786439 CUS851973:CUS851975 CUS917509:CUS917511 CUS983045:CUS983047 DDI5:DDT7 DDI65540:DDT65542 DDI131076:DDT131078 DDI196612:DDT196614 DDI262148:DDT262150 DDI327684:DDT327686 DDI393220:DDT393222 DDI458756:DDT458758 DDI524292:DDT524294 DDI589828:DDT589830 DDI655364:DDT655366 DDI720900:DDT720902 DDI786436:DDT786438 DDI851972:DDT851974 DDI917508:DDT917510 DDI983044:DDT983046 DEC6:DEC8 DEC65541:DEC65543 DEC131077:DEC131079 DEC196613:DEC196615 DEC262149:DEC262151 DEC327685:DEC327687 DEC393221:DEC393223 DEC458757:DEC458759 DEC524293:DEC524295 DEC589829:DEC589831 DEC655365:DEC655367 DEC720901:DEC720903 DEC786437:DEC786439 DEC851973:DEC851975 DEC917509:DEC917511 DEC983045:DEC983047 DED6:DEN7 DED65541:DEN65542 DED131077:DEN131078 DED196613:DEN196614 DED262149:DEN262150 DED327685:DEN327686 DED393221:DEN393222 DED458757:DEN458758 DED524293:DEN524294 DED589829:DEN589830 DED655365:DEN655366 DED720901:DEN720902 DED786437:DEN786438 DED851973:DEN851974 DED917509:DEN917510 DED983045:DEN983046 DEO6:DEO8 DEO65541:DEO65543 DEO131077:DEO131079 DEO196613:DEO196615 DEO262149:DEO262151 DEO327685:DEO327687 DEO393221:DEO393223 DEO458757:DEO458759 DEO524293:DEO524295 DEO589829:DEO589831 DEO655365:DEO655367 DEO720901:DEO720903 DEO786437:DEO786439 DEO851973:DEO851975 DEO917509:DEO917511 DEO983045:DEO983047 DNE5:DNP7 DNE65540:DNP65542 DNE131076:DNP131078 DNE196612:DNP196614 DNE262148:DNP262150 DNE327684:DNP327686 DNE393220:DNP393222 DNE458756:DNP458758 DNE524292:DNP524294 DNE589828:DNP589830 DNE655364:DNP655366 DNE720900:DNP720902 DNE786436:DNP786438 DNE851972:DNP851974 DNE917508:DNP917510 DNE983044:DNP983046 DNY6:DNY8 DNY65541:DNY65543 DNY131077:DNY131079 DNY196613:DNY196615 DNY262149:DNY262151 DNY327685:DNY327687 DNY393221:DNY393223 DNY458757:DNY458759 DNY524293:DNY524295 DNY589829:DNY589831 DNY655365:DNY655367 DNY720901:DNY720903 DNY786437:DNY786439 DNY851973:DNY851975 DNY917509:DNY917511 DNY983045:DNY983047 DNZ6:DOJ7 DNZ65541:DOJ65542 DNZ131077:DOJ131078 DNZ196613:DOJ196614 DNZ262149:DOJ262150 DNZ327685:DOJ327686 DNZ393221:DOJ393222 DNZ458757:DOJ458758 DNZ524293:DOJ524294 DNZ589829:DOJ589830 DNZ655365:DOJ655366 DNZ720901:DOJ720902 DNZ786437:DOJ786438 DNZ851973:DOJ851974 DNZ917509:DOJ917510 DNZ983045:DOJ983046 DOK6:DOK8 DOK65541:DOK65543 DOK131077:DOK131079 DOK196613:DOK196615 DOK262149:DOK262151 DOK327685:DOK327687 DOK393221:DOK393223 DOK458757:DOK458759 DOK524293:DOK524295 DOK589829:DOK589831 DOK655365:DOK655367 DOK720901:DOK720903 DOK786437:DOK786439 DOK851973:DOK851975 DOK917509:DOK917511 DOK983045:DOK983047 DXA5:DXL7 DXA65540:DXL65542 DXA131076:DXL131078 DXA196612:DXL196614 DXA262148:DXL262150 DXA327684:DXL327686 DXA393220:DXL393222 DXA458756:DXL458758 DXA524292:DXL524294 DXA589828:DXL589830 DXA655364:DXL655366 DXA720900:DXL720902 DXA786436:DXL786438 DXA851972:DXL851974 DXA917508:DXL917510 DXA983044:DXL983046 DXU6:DXU8 DXU65541:DXU65543 DXU131077:DXU131079 DXU196613:DXU196615 DXU262149:DXU262151 DXU327685:DXU327687 DXU393221:DXU393223 DXU458757:DXU458759 DXU524293:DXU524295 DXU589829:DXU589831 DXU655365:DXU655367 DXU720901:DXU720903 DXU786437:DXU786439 DXU851973:DXU851975 DXU917509:DXU917511 DXU983045:DXU983047 DXV6:DYF7 DXV65541:DYF65542 DXV131077:DYF131078 DXV196613:DYF196614 DXV262149:DYF262150 DXV327685:DYF327686 DXV393221:DYF393222 DXV458757:DYF458758 DXV524293:DYF524294 DXV589829:DYF589830 DXV655365:DYF655366 DXV720901:DYF720902 DXV786437:DYF786438 DXV851973:DYF851974 DXV917509:DYF917510 DXV983045:DYF983046 DYG6:DYG8 DYG65541:DYG65543 DYG131077:DYG131079 DYG196613:DYG196615 DYG262149:DYG262151 DYG327685:DYG327687 DYG393221:DYG393223 DYG458757:DYG458759 DYG524293:DYG524295 DYG589829:DYG589831 DYG655365:DYG655367 DYG720901:DYG720903 DYG786437:DYG786439 DYG851973:DYG851975 DYG917509:DYG917511 DYG983045:DYG983047 EGW5:EHH7 EGW65540:EHH65542 EGW131076:EHH131078 EGW196612:EHH196614 EGW262148:EHH262150 EGW327684:EHH327686 EGW393220:EHH393222 EGW458756:EHH458758 EGW524292:EHH524294 EGW589828:EHH589830 EGW655364:EHH655366 EGW720900:EHH720902 EGW786436:EHH786438 EGW851972:EHH851974 EGW917508:EHH917510 EGW983044:EHH983046 EHQ6:EHQ8 EHQ65541:EHQ65543 EHQ131077:EHQ131079 EHQ196613:EHQ196615 EHQ262149:EHQ262151 EHQ327685:EHQ327687 EHQ393221:EHQ393223 EHQ458757:EHQ458759 EHQ524293:EHQ524295 EHQ589829:EHQ589831 EHQ655365:EHQ655367 EHQ720901:EHQ720903 EHQ786437:EHQ786439 EHQ851973:EHQ851975 EHQ917509:EHQ917511 EHQ983045:EHQ983047 EHR6:EIB7 EHR65541:EIB65542 EHR131077:EIB131078 EHR196613:EIB196614 EHR262149:EIB262150 EHR327685:EIB327686 EHR393221:EIB393222 EHR458757:EIB458758 EHR524293:EIB524294 EHR589829:EIB589830 EHR655365:EIB655366 EHR720901:EIB720902 EHR786437:EIB786438 EHR851973:EIB851974 EHR917509:EIB917510 EHR983045:EIB983046 EIC6:EIC8 EIC65541:EIC65543 EIC131077:EIC131079 EIC196613:EIC196615 EIC262149:EIC262151 EIC327685:EIC327687 EIC393221:EIC393223 EIC458757:EIC458759 EIC524293:EIC524295 EIC589829:EIC589831 EIC655365:EIC655367 EIC720901:EIC720903 EIC786437:EIC786439 EIC851973:EIC851975 EIC917509:EIC917511 EIC983045:EIC983047 EQS5:ERD7 EQS65540:ERD65542 EQS131076:ERD131078 EQS196612:ERD196614 EQS262148:ERD262150 EQS327684:ERD327686 EQS393220:ERD393222 EQS458756:ERD458758 EQS524292:ERD524294 EQS589828:ERD589830 EQS655364:ERD655366 EQS720900:ERD720902 EQS786436:ERD786438 EQS851972:ERD851974 EQS917508:ERD917510 EQS983044:ERD983046 ERM6:ERM8 ERM65541:ERM65543 ERM131077:ERM131079 ERM196613:ERM196615 ERM262149:ERM262151 ERM327685:ERM327687 ERM393221:ERM393223 ERM458757:ERM458759 ERM524293:ERM524295 ERM589829:ERM589831 ERM655365:ERM655367 ERM720901:ERM720903 ERM786437:ERM786439 ERM851973:ERM851975 ERM917509:ERM917511 ERM983045:ERM983047 ERN6:ERX7 ERN65541:ERX65542 ERN131077:ERX131078 ERN196613:ERX196614 ERN262149:ERX262150 ERN327685:ERX327686 ERN393221:ERX393222 ERN458757:ERX458758 ERN524293:ERX524294 ERN589829:ERX589830 ERN655365:ERX655366 ERN720901:ERX720902 ERN786437:ERX786438 ERN851973:ERX851974 ERN917509:ERX917510 ERN983045:ERX983046 ERY6:ERY8 ERY65541:ERY65543 ERY131077:ERY131079 ERY196613:ERY196615 ERY262149:ERY262151 ERY327685:ERY327687 ERY393221:ERY393223 ERY458757:ERY458759 ERY524293:ERY524295 ERY589829:ERY589831 ERY655365:ERY655367 ERY720901:ERY720903 ERY786437:ERY786439 ERY851973:ERY851975 ERY917509:ERY917511 ERY983045:ERY983047 FAO5:FAZ7 FAO65540:FAZ65542 FAO131076:FAZ131078 FAO196612:FAZ196614 FAO262148:FAZ262150 FAO327684:FAZ327686 FAO393220:FAZ393222 FAO458756:FAZ458758 FAO524292:FAZ524294 FAO589828:FAZ589830 FAO655364:FAZ655366 FAO720900:FAZ720902 FAO786436:FAZ786438 FAO851972:FAZ851974 FAO917508:FAZ917510 FAO983044:FAZ983046 FBI6:FBI8 FBI65541:FBI65543 FBI131077:FBI131079 FBI196613:FBI196615 FBI262149:FBI262151 FBI327685:FBI327687 FBI393221:FBI393223 FBI458757:FBI458759 FBI524293:FBI524295 FBI589829:FBI589831 FBI655365:FBI655367 FBI720901:FBI720903 FBI786437:FBI786439 FBI851973:FBI851975 FBI917509:FBI917511 FBI983045:FBI983047 FBJ6:FBT7 FBJ65541:FBT65542 FBJ131077:FBT131078 FBJ196613:FBT196614 FBJ262149:FBT262150 FBJ327685:FBT327686 FBJ393221:FBT393222 FBJ458757:FBT458758 FBJ524293:FBT524294 FBJ589829:FBT589830 FBJ655365:FBT655366 FBJ720901:FBT720902 FBJ786437:FBT786438 FBJ851973:FBT851974 FBJ917509:FBT917510 FBJ983045:FBT983046 FBU6:FBU8 FBU65541:FBU65543 FBU131077:FBU131079 FBU196613:FBU196615 FBU262149:FBU262151 FBU327685:FBU327687 FBU393221:FBU393223 FBU458757:FBU458759 FBU524293:FBU524295 FBU589829:FBU589831 FBU655365:FBU655367 FBU720901:FBU720903 FBU786437:FBU786439 FBU851973:FBU851975 FBU917509:FBU917511 FBU983045:FBU983047 FKK5:FKV7 FKK65540:FKV65542 FKK131076:FKV131078 FKK196612:FKV196614 FKK262148:FKV262150 FKK327684:FKV327686 FKK393220:FKV393222 FKK458756:FKV458758 FKK524292:FKV524294 FKK589828:FKV589830 FKK655364:FKV655366 FKK720900:FKV720902 FKK786436:FKV786438 FKK851972:FKV851974 FKK917508:FKV917510 FKK983044:FKV983046 FLE6:FLE8 FLE65541:FLE65543 FLE131077:FLE131079 FLE196613:FLE196615 FLE262149:FLE262151 FLE327685:FLE327687 FLE393221:FLE393223 FLE458757:FLE458759 FLE524293:FLE524295 FLE589829:FLE589831 FLE655365:FLE655367 FLE720901:FLE720903 FLE786437:FLE786439 FLE851973:FLE851975 FLE917509:FLE917511 FLE983045:FLE983047 FLF6:FLP7 FLF65541:FLP65542 FLF131077:FLP131078 FLF196613:FLP196614 FLF262149:FLP262150 FLF327685:FLP327686 FLF393221:FLP393222 FLF458757:FLP458758 FLF524293:FLP524294 FLF589829:FLP589830 FLF655365:FLP655366 FLF720901:FLP720902 FLF786437:FLP786438 FLF851973:FLP851974 FLF917509:FLP917510 FLF983045:FLP983046 FLQ6:FLQ8 FLQ65541:FLQ65543 FLQ131077:FLQ131079 FLQ196613:FLQ196615 FLQ262149:FLQ262151 FLQ327685:FLQ327687 FLQ393221:FLQ393223 FLQ458757:FLQ458759 FLQ524293:FLQ524295 FLQ589829:FLQ589831 FLQ655365:FLQ655367 FLQ720901:FLQ720903 FLQ786437:FLQ786439 FLQ851973:FLQ851975 FLQ917509:FLQ917511 FLQ983045:FLQ983047 FUG5:FUR7 FUG65540:FUR65542 FUG131076:FUR131078 FUG196612:FUR196614 FUG262148:FUR262150 FUG327684:FUR327686 FUG393220:FUR393222 FUG458756:FUR458758 FUG524292:FUR524294 FUG589828:FUR589830 FUG655364:FUR655366 FUG720900:FUR720902 FUG786436:FUR786438 FUG851972:FUR851974 FUG917508:FUR917510 FUG983044:FUR983046 FVA6:FVA8 FVA65541:FVA65543 FVA131077:FVA131079 FVA196613:FVA196615 FVA262149:FVA262151 FVA327685:FVA327687 FVA393221:FVA393223 FVA458757:FVA458759 FVA524293:FVA524295 FVA589829:FVA589831 FVA655365:FVA655367 FVA720901:FVA720903 FVA786437:FVA786439 FVA851973:FVA851975 FVA917509:FVA917511 FVA983045:FVA983047 FVB6:FVL7 FVB65541:FVL65542 FVB131077:FVL131078 FVB196613:FVL196614 FVB262149:FVL262150 FVB327685:FVL327686 FVB393221:FVL393222 FVB458757:FVL458758 FVB524293:FVL524294 FVB589829:FVL589830 FVB655365:FVL655366 FVB720901:FVL720902 FVB786437:FVL786438 FVB851973:FVL851974 FVB917509:FVL917510 FVB983045:FVL983046 FVM6:FVM8 FVM65541:FVM65543 FVM131077:FVM131079 FVM196613:FVM196615 FVM262149:FVM262151 FVM327685:FVM327687 FVM393221:FVM393223 FVM458757:FVM458759 FVM524293:FVM524295 FVM589829:FVM589831 FVM655365:FVM655367 FVM720901:FVM720903 FVM786437:FVM786439 FVM851973:FVM851975 FVM917509:FVM917511 FVM983045:FVM983047 GEC5:GEN7 GEC65540:GEN65542 GEC131076:GEN131078 GEC196612:GEN196614 GEC262148:GEN262150 GEC327684:GEN327686 GEC393220:GEN393222 GEC458756:GEN458758 GEC524292:GEN524294 GEC589828:GEN589830 GEC655364:GEN655366 GEC720900:GEN720902 GEC786436:GEN786438 GEC851972:GEN851974 GEC917508:GEN917510 GEC983044:GEN983046 GEW6:GEW8 GEW65541:GEW65543 GEW131077:GEW131079 GEW196613:GEW196615 GEW262149:GEW262151 GEW327685:GEW327687 GEW393221:GEW393223 GEW458757:GEW458759 GEW524293:GEW524295 GEW589829:GEW589831 GEW655365:GEW655367 GEW720901:GEW720903 GEW786437:GEW786439 GEW851973:GEW851975 GEW917509:GEW917511 GEW983045:GEW983047 GEX6:GFH7 GEX65541:GFH65542 GEX131077:GFH131078 GEX196613:GFH196614 GEX262149:GFH262150 GEX327685:GFH327686 GEX393221:GFH393222 GEX458757:GFH458758 GEX524293:GFH524294 GEX589829:GFH589830 GEX655365:GFH655366 GEX720901:GFH720902 GEX786437:GFH786438 GEX851973:GFH851974 GEX917509:GFH917510 GEX983045:GFH983046 GFI6:GFI8 GFI65541:GFI65543 GFI131077:GFI131079 GFI196613:GFI196615 GFI262149:GFI262151 GFI327685:GFI327687 GFI393221:GFI393223 GFI458757:GFI458759 GFI524293:GFI524295 GFI589829:GFI589831 GFI655365:GFI655367 GFI720901:GFI720903 GFI786437:GFI786439 GFI851973:GFI851975 GFI917509:GFI917511 GFI983045:GFI983047 GNY5:GOJ7 GNY65540:GOJ65542 GNY131076:GOJ131078 GNY196612:GOJ196614 GNY262148:GOJ262150 GNY327684:GOJ327686 GNY393220:GOJ393222 GNY458756:GOJ458758 GNY524292:GOJ524294 GNY589828:GOJ589830 GNY655364:GOJ655366 GNY720900:GOJ720902 GNY786436:GOJ786438 GNY851972:GOJ851974 GNY917508:GOJ917510 GNY983044:GOJ983046 GOS6:GOS8 GOS65541:GOS65543 GOS131077:GOS131079 GOS196613:GOS196615 GOS262149:GOS262151 GOS327685:GOS327687 GOS393221:GOS393223 GOS458757:GOS458759 GOS524293:GOS524295 GOS589829:GOS589831 GOS655365:GOS655367 GOS720901:GOS720903 GOS786437:GOS786439 GOS851973:GOS851975 GOS917509:GOS917511 GOS983045:GOS983047 GOT6:GPD7 GOT65541:GPD65542 GOT131077:GPD131078 GOT196613:GPD196614 GOT262149:GPD262150 GOT327685:GPD327686 GOT393221:GPD393222 GOT458757:GPD458758 GOT524293:GPD524294 GOT589829:GPD589830 GOT655365:GPD655366 GOT720901:GPD720902 GOT786437:GPD786438 GOT851973:GPD851974 GOT917509:GPD917510 GOT983045:GPD983046 GPE6:GPE8 GPE65541:GPE65543 GPE131077:GPE131079 GPE196613:GPE196615 GPE262149:GPE262151 GPE327685:GPE327687 GPE393221:GPE393223 GPE458757:GPE458759 GPE524293:GPE524295 GPE589829:GPE589831 GPE655365:GPE655367 GPE720901:GPE720903 GPE786437:GPE786439 GPE851973:GPE851975 GPE917509:GPE917511 GPE983045:GPE983047 GXU5:GYF7 GXU65540:GYF65542 GXU131076:GYF131078 GXU196612:GYF196614 GXU262148:GYF262150 GXU327684:GYF327686 GXU393220:GYF393222 GXU458756:GYF458758 GXU524292:GYF524294 GXU589828:GYF589830 GXU655364:GYF655366 GXU720900:GYF720902 GXU786436:GYF786438 GXU851972:GYF851974 GXU917508:GYF917510 GXU983044:GYF983046 GYO6:GYO8 GYO65541:GYO65543 GYO131077:GYO131079 GYO196613:GYO196615 GYO262149:GYO262151 GYO327685:GYO327687 GYO393221:GYO393223 GYO458757:GYO458759 GYO524293:GYO524295 GYO589829:GYO589831 GYO655365:GYO655367 GYO720901:GYO720903 GYO786437:GYO786439 GYO851973:GYO851975 GYO917509:GYO917511 GYO983045:GYO983047 GYP6:GYZ7 GYP65541:GYZ65542 GYP131077:GYZ131078 GYP196613:GYZ196614 GYP262149:GYZ262150 GYP327685:GYZ327686 GYP393221:GYZ393222 GYP458757:GYZ458758 GYP524293:GYZ524294 GYP589829:GYZ589830 GYP655365:GYZ655366 GYP720901:GYZ720902 GYP786437:GYZ786438 GYP851973:GYZ851974 GYP917509:GYZ917510 GYP983045:GYZ983046 GZA6:GZA8 GZA65541:GZA65543 GZA131077:GZA131079 GZA196613:GZA196615 GZA262149:GZA262151 GZA327685:GZA327687 GZA393221:GZA393223 GZA458757:GZA458759 GZA524293:GZA524295 GZA589829:GZA589831 GZA655365:GZA655367 GZA720901:GZA720903 GZA786437:GZA786439 GZA851973:GZA851975 GZA917509:GZA917511 GZA983045:GZA983047 HHQ5:HIB7 HHQ65540:HIB65542 HHQ131076:HIB131078 HHQ196612:HIB196614 HHQ262148:HIB262150 HHQ327684:HIB327686 HHQ393220:HIB393222 HHQ458756:HIB458758 HHQ524292:HIB524294 HHQ589828:HIB589830 HHQ655364:HIB655366 HHQ720900:HIB720902 HHQ786436:HIB786438 HHQ851972:HIB851974 HHQ917508:HIB917510 HHQ983044:HIB983046 HIK6:HIK8 HIK65541:HIK65543 HIK131077:HIK131079 HIK196613:HIK196615 HIK262149:HIK262151 HIK327685:HIK327687 HIK393221:HIK393223 HIK458757:HIK458759 HIK524293:HIK524295 HIK589829:HIK589831 HIK655365:HIK655367 HIK720901:HIK720903 HIK786437:HIK786439 HIK851973:HIK851975 HIK917509:HIK917511 HIK983045:HIK983047 HIL6:HIV7 HIL65541:HIV65542 HIL131077:HIV131078 HIL196613:HIV196614 HIL262149:HIV262150 HIL327685:HIV327686 HIL393221:HIV393222 HIL458757:HIV458758 HIL524293:HIV524294 HIL589829:HIV589830 HIL655365:HIV655366 HIL720901:HIV720902 HIL786437:HIV786438 HIL851973:HIV851974 HIL917509:HIV917510 HIL983045:HIV983046 HIW6:HIW8 HIW65541:HIW65543 HIW131077:HIW131079 HIW196613:HIW196615 HIW262149:HIW262151 HIW327685:HIW327687 HIW393221:HIW393223 HIW458757:HIW458759 HIW524293:HIW524295 HIW589829:HIW589831 HIW655365:HIW655367 HIW720901:HIW720903 HIW786437:HIW786439 HIW851973:HIW851975 HIW917509:HIW917511 HIW983045:HIW983047 HRM5:HRX7 HRM65540:HRX65542 HRM131076:HRX131078 HRM196612:HRX196614 HRM262148:HRX262150 HRM327684:HRX327686 HRM393220:HRX393222 HRM458756:HRX458758 HRM524292:HRX524294 HRM589828:HRX589830 HRM655364:HRX655366 HRM720900:HRX720902 HRM786436:HRX786438 HRM851972:HRX851974 HRM917508:HRX917510 HRM983044:HRX983046 HSG6:HSG8 HSG65541:HSG65543 HSG131077:HSG131079 HSG196613:HSG196615 HSG262149:HSG262151 HSG327685:HSG327687 HSG393221:HSG393223 HSG458757:HSG458759 HSG524293:HSG524295 HSG589829:HSG589831 HSG655365:HSG655367 HSG720901:HSG720903 HSG786437:HSG786439 HSG851973:HSG851975 HSG917509:HSG917511 HSG983045:HSG983047 HSH6:HSR7 HSH65541:HSR65542 HSH131077:HSR131078 HSH196613:HSR196614 HSH262149:HSR262150 HSH327685:HSR327686 HSH393221:HSR393222 HSH458757:HSR458758 HSH524293:HSR524294 HSH589829:HSR589830 HSH655365:HSR655366 HSH720901:HSR720902 HSH786437:HSR786438 HSH851973:HSR851974 HSH917509:HSR917510 HSH983045:HSR983046 HSS6:HSS8 HSS65541:HSS65543 HSS131077:HSS131079 HSS196613:HSS196615 HSS262149:HSS262151 HSS327685:HSS327687 HSS393221:HSS393223 HSS458757:HSS458759 HSS524293:HSS524295 HSS589829:HSS589831 HSS655365:HSS655367 HSS720901:HSS720903 HSS786437:HSS786439 HSS851973:HSS851975 HSS917509:HSS917511 HSS983045:HSS983047 IBI5:IBT7 IBI65540:IBT65542 IBI131076:IBT131078 IBI196612:IBT196614 IBI262148:IBT262150 IBI327684:IBT327686 IBI393220:IBT393222 IBI458756:IBT458758 IBI524292:IBT524294 IBI589828:IBT589830 IBI655364:IBT655366 IBI720900:IBT720902 IBI786436:IBT786438 IBI851972:IBT851974 IBI917508:IBT917510 IBI983044:IBT983046 ICC6:ICC8 ICC65541:ICC65543 ICC131077:ICC131079 ICC196613:ICC196615 ICC262149:ICC262151 ICC327685:ICC327687 ICC393221:ICC393223 ICC458757:ICC458759 ICC524293:ICC524295 ICC589829:ICC589831 ICC655365:ICC655367 ICC720901:ICC720903 ICC786437:ICC786439 ICC851973:ICC851975 ICC917509:ICC917511 ICC983045:ICC983047 ICD6:ICN7 ICD65541:ICN65542 ICD131077:ICN131078 ICD196613:ICN196614 ICD262149:ICN262150 ICD327685:ICN327686 ICD393221:ICN393222 ICD458757:ICN458758 ICD524293:ICN524294 ICD589829:ICN589830 ICD655365:ICN655366 ICD720901:ICN720902 ICD786437:ICN786438 ICD851973:ICN851974 ICD917509:ICN917510 ICD983045:ICN983046 ICO6:ICO8 ICO65541:ICO65543 ICO131077:ICO131079 ICO196613:ICO196615 ICO262149:ICO262151 ICO327685:ICO327687 ICO393221:ICO393223 ICO458757:ICO458759 ICO524293:ICO524295 ICO589829:ICO589831 ICO655365:ICO655367 ICO720901:ICO720903 ICO786437:ICO786439 ICO851973:ICO851975 ICO917509:ICO917511 ICO983045:ICO983047 ILE5:ILP7 ILE65540:ILP65542 ILE131076:ILP131078 ILE196612:ILP196614 ILE262148:ILP262150 ILE327684:ILP327686 ILE393220:ILP393222 ILE458756:ILP458758 ILE524292:ILP524294 ILE589828:ILP589830 ILE655364:ILP655366 ILE720900:ILP720902 ILE786436:ILP786438 ILE851972:ILP851974 ILE917508:ILP917510 ILE983044:ILP983046 ILY6:ILY8 ILY65541:ILY65543 ILY131077:ILY131079 ILY196613:ILY196615 ILY262149:ILY262151 ILY327685:ILY327687 ILY393221:ILY393223 ILY458757:ILY458759 ILY524293:ILY524295 ILY589829:ILY589831 ILY655365:ILY655367 ILY720901:ILY720903 ILY786437:ILY786439 ILY851973:ILY851975 ILY917509:ILY917511 ILY983045:ILY983047 ILZ6:IMJ7 ILZ65541:IMJ65542 ILZ131077:IMJ131078 ILZ196613:IMJ196614 ILZ262149:IMJ262150 ILZ327685:IMJ327686 ILZ393221:IMJ393222 ILZ458757:IMJ458758 ILZ524293:IMJ524294 ILZ589829:IMJ589830 ILZ655365:IMJ655366 ILZ720901:IMJ720902 ILZ786437:IMJ786438 ILZ851973:IMJ851974 ILZ917509:IMJ917510 ILZ983045:IMJ983046 IMK6:IMK8 IMK65541:IMK65543 IMK131077:IMK131079 IMK196613:IMK196615 IMK262149:IMK262151 IMK327685:IMK327687 IMK393221:IMK393223 IMK458757:IMK458759 IMK524293:IMK524295 IMK589829:IMK589831 IMK655365:IMK655367 IMK720901:IMK720903 IMK786437:IMK786439 IMK851973:IMK851975 IMK917509:IMK917511 IMK983045:IMK983047 IVA5:IVL7 IVA65540:IVL65542 IVA131076:IVL131078 IVA196612:IVL196614 IVA262148:IVL262150 IVA327684:IVL327686 IVA393220:IVL393222 IVA458756:IVL458758 IVA524292:IVL524294 IVA589828:IVL589830 IVA655364:IVL655366 IVA720900:IVL720902 IVA786436:IVL786438 IVA851972:IVL851974 IVA917508:IVL917510 IVA983044:IVL983046 IVU6:IVU8 IVU65541:IVU65543 IVU131077:IVU131079 IVU196613:IVU196615 IVU262149:IVU262151 IVU327685:IVU327687 IVU393221:IVU393223 IVU458757:IVU458759 IVU524293:IVU524295 IVU589829:IVU589831 IVU655365:IVU655367 IVU720901:IVU720903 IVU786437:IVU786439 IVU851973:IVU851975 IVU917509:IVU917511 IVU983045:IVU983047 IVV6:IWF7 IVV65541:IWF65542 IVV131077:IWF131078 IVV196613:IWF196614 IVV262149:IWF262150 IVV327685:IWF327686 IVV393221:IWF393222 IVV458757:IWF458758 IVV524293:IWF524294 IVV589829:IWF589830 IVV655365:IWF655366 IVV720901:IWF720902 IVV786437:IWF786438 IVV851973:IWF851974 IVV917509:IWF917510 IVV983045:IWF983046 IWG6:IWG8 IWG65541:IWG65543 IWG131077:IWG131079 IWG196613:IWG196615 IWG262149:IWG262151 IWG327685:IWG327687 IWG393221:IWG393223 IWG458757:IWG458759 IWG524293:IWG524295 IWG589829:IWG589831 IWG655365:IWG655367 IWG720901:IWG720903 IWG786437:IWG786439 IWG851973:IWG851975 IWG917509:IWG917511 IWG983045:IWG983047 JEW5:JFH7 JEW65540:JFH65542 JEW131076:JFH131078 JEW196612:JFH196614 JEW262148:JFH262150 JEW327684:JFH327686 JEW393220:JFH393222 JEW458756:JFH458758 JEW524292:JFH524294 JEW589828:JFH589830 JEW655364:JFH655366 JEW720900:JFH720902 JEW786436:JFH786438 JEW851972:JFH851974 JEW917508:JFH917510 JEW983044:JFH983046 JFQ6:JFQ8 JFQ65541:JFQ65543 JFQ131077:JFQ131079 JFQ196613:JFQ196615 JFQ262149:JFQ262151 JFQ327685:JFQ327687 JFQ393221:JFQ393223 JFQ458757:JFQ458759 JFQ524293:JFQ524295 JFQ589829:JFQ589831 JFQ655365:JFQ655367 JFQ720901:JFQ720903 JFQ786437:JFQ786439 JFQ851973:JFQ851975 JFQ917509:JFQ917511 JFQ983045:JFQ983047 JFR6:JGB7 JFR65541:JGB65542 JFR131077:JGB131078 JFR196613:JGB196614 JFR262149:JGB262150 JFR327685:JGB327686 JFR393221:JGB393222 JFR458757:JGB458758 JFR524293:JGB524294 JFR589829:JGB589830 JFR655365:JGB655366 JFR720901:JGB720902 JFR786437:JGB786438 JFR851973:JGB851974 JFR917509:JGB917510 JFR983045:JGB983046 JGC6:JGC8 JGC65541:JGC65543 JGC131077:JGC131079 JGC196613:JGC196615 JGC262149:JGC262151 JGC327685:JGC327687 JGC393221:JGC393223 JGC458757:JGC458759 JGC524293:JGC524295 JGC589829:JGC589831 JGC655365:JGC655367 JGC720901:JGC720903 JGC786437:JGC786439 JGC851973:JGC851975 JGC917509:JGC917511 JGC983045:JGC983047 JOS5:JPD7 JOS65540:JPD65542 JOS131076:JPD131078 JOS196612:JPD196614 JOS262148:JPD262150 JOS327684:JPD327686 JOS393220:JPD393222 JOS458756:JPD458758 JOS524292:JPD524294 JOS589828:JPD589830 JOS655364:JPD655366 JOS720900:JPD720902 JOS786436:JPD786438 JOS851972:JPD851974 JOS917508:JPD917510 JOS983044:JPD983046 JPM6:JPM8 JPM65541:JPM65543 JPM131077:JPM131079 JPM196613:JPM196615 JPM262149:JPM262151 JPM327685:JPM327687 JPM393221:JPM393223 JPM458757:JPM458759 JPM524293:JPM524295 JPM589829:JPM589831 JPM655365:JPM655367 JPM720901:JPM720903 JPM786437:JPM786439 JPM851973:JPM851975 JPM917509:JPM917511 JPM983045:JPM983047 JPN6:JPX7 JPN65541:JPX65542 JPN131077:JPX131078 JPN196613:JPX196614 JPN262149:JPX262150 JPN327685:JPX327686 JPN393221:JPX393222 JPN458757:JPX458758 JPN524293:JPX524294 JPN589829:JPX589830 JPN655365:JPX655366 JPN720901:JPX720902 JPN786437:JPX786438 JPN851973:JPX851974 JPN917509:JPX917510 JPN983045:JPX983046 JPY6:JPY8 JPY65541:JPY65543 JPY131077:JPY131079 JPY196613:JPY196615 JPY262149:JPY262151 JPY327685:JPY327687 JPY393221:JPY393223 JPY458757:JPY458759 JPY524293:JPY524295 JPY589829:JPY589831 JPY655365:JPY655367 JPY720901:JPY720903 JPY786437:JPY786439 JPY851973:JPY851975 JPY917509:JPY917511 JPY983045:JPY983047 JYO5:JYZ7 JYO65540:JYZ65542 JYO131076:JYZ131078 JYO196612:JYZ196614 JYO262148:JYZ262150 JYO327684:JYZ327686 JYO393220:JYZ393222 JYO458756:JYZ458758 JYO524292:JYZ524294 JYO589828:JYZ589830 JYO655364:JYZ655366 JYO720900:JYZ720902 JYO786436:JYZ786438 JYO851972:JYZ851974 JYO917508:JYZ917510 JYO983044:JYZ983046 JZI6:JZI8 JZI65541:JZI65543 JZI131077:JZI131079 JZI196613:JZI196615 JZI262149:JZI262151 JZI327685:JZI327687 JZI393221:JZI393223 JZI458757:JZI458759 JZI524293:JZI524295 JZI589829:JZI589831 JZI655365:JZI655367 JZI720901:JZI720903 JZI786437:JZI786439 JZI851973:JZI851975 JZI917509:JZI917511 JZI983045:JZI983047 JZJ6:JZT7 JZJ65541:JZT65542 JZJ131077:JZT131078 JZJ196613:JZT196614 JZJ262149:JZT262150 JZJ327685:JZT327686 JZJ393221:JZT393222 JZJ458757:JZT458758 JZJ524293:JZT524294 JZJ589829:JZT589830 JZJ655365:JZT655366 JZJ720901:JZT720902 JZJ786437:JZT786438 JZJ851973:JZT851974 JZJ917509:JZT917510 JZJ983045:JZT983046 JZU6:JZU8 JZU65541:JZU65543 JZU131077:JZU131079 JZU196613:JZU196615 JZU262149:JZU262151 JZU327685:JZU327687 JZU393221:JZU393223 JZU458757:JZU458759 JZU524293:JZU524295 JZU589829:JZU589831 JZU655365:JZU655367 JZU720901:JZU720903 JZU786437:JZU786439 JZU851973:JZU851975 JZU917509:JZU917511 JZU983045:JZU983047 KIK5:KIV7 KIK65540:KIV65542 KIK131076:KIV131078 KIK196612:KIV196614 KIK262148:KIV262150 KIK327684:KIV327686 KIK393220:KIV393222 KIK458756:KIV458758 KIK524292:KIV524294 KIK589828:KIV589830 KIK655364:KIV655366 KIK720900:KIV720902 KIK786436:KIV786438 KIK851972:KIV851974 KIK917508:KIV917510 KIK983044:KIV983046 KJE6:KJE8 KJE65541:KJE65543 KJE131077:KJE131079 KJE196613:KJE196615 KJE262149:KJE262151 KJE327685:KJE327687 KJE393221:KJE393223 KJE458757:KJE458759 KJE524293:KJE524295 KJE589829:KJE589831 KJE655365:KJE655367 KJE720901:KJE720903 KJE786437:KJE786439 KJE851973:KJE851975 KJE917509:KJE917511 KJE983045:KJE983047 KJF6:KJP7 KJF65541:KJP65542 KJF131077:KJP131078 KJF196613:KJP196614 KJF262149:KJP262150 KJF327685:KJP327686 KJF393221:KJP393222 KJF458757:KJP458758 KJF524293:KJP524294 KJF589829:KJP589830 KJF655365:KJP655366 KJF720901:KJP720902 KJF786437:KJP786438 KJF851973:KJP851974 KJF917509:KJP917510 KJF983045:KJP983046 KJQ6:KJQ8 KJQ65541:KJQ65543 KJQ131077:KJQ131079 KJQ196613:KJQ196615 KJQ262149:KJQ262151 KJQ327685:KJQ327687 KJQ393221:KJQ393223 KJQ458757:KJQ458759 KJQ524293:KJQ524295 KJQ589829:KJQ589831 KJQ655365:KJQ655367 KJQ720901:KJQ720903 KJQ786437:KJQ786439 KJQ851973:KJQ851975 KJQ917509:KJQ917511 KJQ983045:KJQ983047 KSG5:KSR7 KSG65540:KSR65542 KSG131076:KSR131078 KSG196612:KSR196614 KSG262148:KSR262150 KSG327684:KSR327686 KSG393220:KSR393222 KSG458756:KSR458758 KSG524292:KSR524294 KSG589828:KSR589830 KSG655364:KSR655366 KSG720900:KSR720902 KSG786436:KSR786438 KSG851972:KSR851974 KSG917508:KSR917510 KSG983044:KSR983046 KTA6:KTA8 KTA65541:KTA65543 KTA131077:KTA131079 KTA196613:KTA196615 KTA262149:KTA262151 KTA327685:KTA327687 KTA393221:KTA393223 KTA458757:KTA458759 KTA524293:KTA524295 KTA589829:KTA589831 KTA655365:KTA655367 KTA720901:KTA720903 KTA786437:KTA786439 KTA851973:KTA851975 KTA917509:KTA917511 KTA983045:KTA983047 KTB6:KTL7 KTB65541:KTL65542 KTB131077:KTL131078 KTB196613:KTL196614 KTB262149:KTL262150 KTB327685:KTL327686 KTB393221:KTL393222 KTB458757:KTL458758 KTB524293:KTL524294 KTB589829:KTL589830 KTB655365:KTL655366 KTB720901:KTL720902 KTB786437:KTL786438 KTB851973:KTL851974 KTB917509:KTL917510 KTB983045:KTL983046 KTM6:KTM8 KTM65541:KTM65543 KTM131077:KTM131079 KTM196613:KTM196615 KTM262149:KTM262151 KTM327685:KTM327687 KTM393221:KTM393223 KTM458757:KTM458759 KTM524293:KTM524295 KTM589829:KTM589831 KTM655365:KTM655367 KTM720901:KTM720903 KTM786437:KTM786439 KTM851973:KTM851975 KTM917509:KTM917511 KTM983045:KTM983047 LCC5:LCN7 LCC65540:LCN65542 LCC131076:LCN131078 LCC196612:LCN196614 LCC262148:LCN262150 LCC327684:LCN327686 LCC393220:LCN393222 LCC458756:LCN458758 LCC524292:LCN524294 LCC589828:LCN589830 LCC655364:LCN655366 LCC720900:LCN720902 LCC786436:LCN786438 LCC851972:LCN851974 LCC917508:LCN917510 LCC983044:LCN983046 LCW6:LCW8 LCW65541:LCW65543 LCW131077:LCW131079 LCW196613:LCW196615 LCW262149:LCW262151 LCW327685:LCW327687 LCW393221:LCW393223 LCW458757:LCW458759 LCW524293:LCW524295 LCW589829:LCW589831 LCW655365:LCW655367 LCW720901:LCW720903 LCW786437:LCW786439 LCW851973:LCW851975 LCW917509:LCW917511 LCW983045:LCW983047 LCX6:LDH7 LCX65541:LDH65542 LCX131077:LDH131078 LCX196613:LDH196614 LCX262149:LDH262150 LCX327685:LDH327686 LCX393221:LDH393222 LCX458757:LDH458758 LCX524293:LDH524294 LCX589829:LDH589830 LCX655365:LDH655366 LCX720901:LDH720902 LCX786437:LDH786438 LCX851973:LDH851974 LCX917509:LDH917510 LCX983045:LDH983046 LDI6:LDI8 LDI65541:LDI65543 LDI131077:LDI131079 LDI196613:LDI196615 LDI262149:LDI262151 LDI327685:LDI327687 LDI393221:LDI393223 LDI458757:LDI458759 LDI524293:LDI524295 LDI589829:LDI589831 LDI655365:LDI655367 LDI720901:LDI720903 LDI786437:LDI786439 LDI851973:LDI851975 LDI917509:LDI917511 LDI983045:LDI983047 LLY5:LMJ7 LLY65540:LMJ65542 LLY131076:LMJ131078 LLY196612:LMJ196614 LLY262148:LMJ262150 LLY327684:LMJ327686 LLY393220:LMJ393222 LLY458756:LMJ458758 LLY524292:LMJ524294 LLY589828:LMJ589830 LLY655364:LMJ655366 LLY720900:LMJ720902 LLY786436:LMJ786438 LLY851972:LMJ851974 LLY917508:LMJ917510 LLY983044:LMJ983046 LMS6:LMS8 LMS65541:LMS65543 LMS131077:LMS131079 LMS196613:LMS196615 LMS262149:LMS262151 LMS327685:LMS327687 LMS393221:LMS393223 LMS458757:LMS458759 LMS524293:LMS524295 LMS589829:LMS589831 LMS655365:LMS655367 LMS720901:LMS720903 LMS786437:LMS786439 LMS851973:LMS851975 LMS917509:LMS917511 LMS983045:LMS983047 LMT6:LND7 LMT65541:LND65542 LMT131077:LND131078 LMT196613:LND196614 LMT262149:LND262150 LMT327685:LND327686 LMT393221:LND393222 LMT458757:LND458758 LMT524293:LND524294 LMT589829:LND589830 LMT655365:LND655366 LMT720901:LND720902 LMT786437:LND786438 LMT851973:LND851974 LMT917509:LND917510 LMT983045:LND983046 LNE6:LNE8 LNE65541:LNE65543 LNE131077:LNE131079 LNE196613:LNE196615 LNE262149:LNE262151 LNE327685:LNE327687 LNE393221:LNE393223 LNE458757:LNE458759 LNE524293:LNE524295 LNE589829:LNE589831 LNE655365:LNE655367 LNE720901:LNE720903 LNE786437:LNE786439 LNE851973:LNE851975 LNE917509:LNE917511 LNE983045:LNE983047 LVU5:LWF7 LVU65540:LWF65542 LVU131076:LWF131078 LVU196612:LWF196614 LVU262148:LWF262150 LVU327684:LWF327686 LVU393220:LWF393222 LVU458756:LWF458758 LVU524292:LWF524294 LVU589828:LWF589830 LVU655364:LWF655366 LVU720900:LWF720902 LVU786436:LWF786438 LVU851972:LWF851974 LVU917508:LWF917510 LVU983044:LWF983046 LWO6:LWO8 LWO65541:LWO65543 LWO131077:LWO131079 LWO196613:LWO196615 LWO262149:LWO262151 LWO327685:LWO327687 LWO393221:LWO393223 LWO458757:LWO458759 LWO524293:LWO524295 LWO589829:LWO589831 LWO655365:LWO655367 LWO720901:LWO720903 LWO786437:LWO786439 LWO851973:LWO851975 LWO917509:LWO917511 LWO983045:LWO983047 LWP6:LWZ7 LWP65541:LWZ65542 LWP131077:LWZ131078 LWP196613:LWZ196614 LWP262149:LWZ262150 LWP327685:LWZ327686 LWP393221:LWZ393222 LWP458757:LWZ458758 LWP524293:LWZ524294 LWP589829:LWZ589830 LWP655365:LWZ655366 LWP720901:LWZ720902 LWP786437:LWZ786438 LWP851973:LWZ851974 LWP917509:LWZ917510 LWP983045:LWZ983046 LXA6:LXA8 LXA65541:LXA65543 LXA131077:LXA131079 LXA196613:LXA196615 LXA262149:LXA262151 LXA327685:LXA327687 LXA393221:LXA393223 LXA458757:LXA458759 LXA524293:LXA524295 LXA589829:LXA589831 LXA655365:LXA655367 LXA720901:LXA720903 LXA786437:LXA786439 LXA851973:LXA851975 LXA917509:LXA917511 LXA983045:LXA983047 MFQ5:MGB7 MFQ65540:MGB65542 MFQ131076:MGB131078 MFQ196612:MGB196614 MFQ262148:MGB262150 MFQ327684:MGB327686 MFQ393220:MGB393222 MFQ458756:MGB458758 MFQ524292:MGB524294 MFQ589828:MGB589830 MFQ655364:MGB655366 MFQ720900:MGB720902 MFQ786436:MGB786438 MFQ851972:MGB851974 MFQ917508:MGB917510 MFQ983044:MGB983046 MGK6:MGK8 MGK65541:MGK65543 MGK131077:MGK131079 MGK196613:MGK196615 MGK262149:MGK262151 MGK327685:MGK327687 MGK393221:MGK393223 MGK458757:MGK458759 MGK524293:MGK524295 MGK589829:MGK589831 MGK655365:MGK655367 MGK720901:MGK720903 MGK786437:MGK786439 MGK851973:MGK851975 MGK917509:MGK917511 MGK983045:MGK983047 MGL6:MGV7 MGL65541:MGV65542 MGL131077:MGV131078 MGL196613:MGV196614 MGL262149:MGV262150 MGL327685:MGV327686 MGL393221:MGV393222 MGL458757:MGV458758 MGL524293:MGV524294 MGL589829:MGV589830 MGL655365:MGV655366 MGL720901:MGV720902 MGL786437:MGV786438 MGL851973:MGV851974 MGL917509:MGV917510 MGL983045:MGV983046 MGW6:MGW8 MGW65541:MGW65543 MGW131077:MGW131079 MGW196613:MGW196615 MGW262149:MGW262151 MGW327685:MGW327687 MGW393221:MGW393223 MGW458757:MGW458759 MGW524293:MGW524295 MGW589829:MGW589831 MGW655365:MGW655367 MGW720901:MGW720903 MGW786437:MGW786439 MGW851973:MGW851975 MGW917509:MGW917511 MGW983045:MGW983047 MPM5:MPX7 MPM65540:MPX65542 MPM131076:MPX131078 MPM196612:MPX196614 MPM262148:MPX262150 MPM327684:MPX327686 MPM393220:MPX393222 MPM458756:MPX458758 MPM524292:MPX524294 MPM589828:MPX589830 MPM655364:MPX655366 MPM720900:MPX720902 MPM786436:MPX786438 MPM851972:MPX851974 MPM917508:MPX917510 MPM983044:MPX983046 MQG6:MQG8 MQG65541:MQG65543 MQG131077:MQG131079 MQG196613:MQG196615 MQG262149:MQG262151 MQG327685:MQG327687 MQG393221:MQG393223 MQG458757:MQG458759 MQG524293:MQG524295 MQG589829:MQG589831 MQG655365:MQG655367 MQG720901:MQG720903 MQG786437:MQG786439 MQG851973:MQG851975 MQG917509:MQG917511 MQG983045:MQG983047 MQH6:MQR7 MQH65541:MQR65542 MQH131077:MQR131078 MQH196613:MQR196614 MQH262149:MQR262150 MQH327685:MQR327686 MQH393221:MQR393222 MQH458757:MQR458758 MQH524293:MQR524294 MQH589829:MQR589830 MQH655365:MQR655366 MQH720901:MQR720902 MQH786437:MQR786438 MQH851973:MQR851974 MQH917509:MQR917510 MQH983045:MQR983046 MQS6:MQS8 MQS65541:MQS65543 MQS131077:MQS131079 MQS196613:MQS196615 MQS262149:MQS262151 MQS327685:MQS327687 MQS393221:MQS393223 MQS458757:MQS458759 MQS524293:MQS524295 MQS589829:MQS589831 MQS655365:MQS655367 MQS720901:MQS720903 MQS786437:MQS786439 MQS851973:MQS851975 MQS917509:MQS917511 MQS983045:MQS983047 MZI5:MZT7 MZI65540:MZT65542 MZI131076:MZT131078 MZI196612:MZT196614 MZI262148:MZT262150 MZI327684:MZT327686 MZI393220:MZT393222 MZI458756:MZT458758 MZI524292:MZT524294 MZI589828:MZT589830 MZI655364:MZT655366 MZI720900:MZT720902 MZI786436:MZT786438 MZI851972:MZT851974 MZI917508:MZT917510 MZI983044:MZT983046 NAC6:NAC8 NAC65541:NAC65543 NAC131077:NAC131079 NAC196613:NAC196615 NAC262149:NAC262151 NAC327685:NAC327687 NAC393221:NAC393223 NAC458757:NAC458759 NAC524293:NAC524295 NAC589829:NAC589831 NAC655365:NAC655367 NAC720901:NAC720903 NAC786437:NAC786439 NAC851973:NAC851975 NAC917509:NAC917511 NAC983045:NAC983047 NAD6:NAN7 NAD65541:NAN65542 NAD131077:NAN131078 NAD196613:NAN196614 NAD262149:NAN262150 NAD327685:NAN327686 NAD393221:NAN393222 NAD458757:NAN458758 NAD524293:NAN524294 NAD589829:NAN589830 NAD655365:NAN655366 NAD720901:NAN720902 NAD786437:NAN786438 NAD851973:NAN851974 NAD917509:NAN917510 NAD983045:NAN983046 NAO6:NAO8 NAO65541:NAO65543 NAO131077:NAO131079 NAO196613:NAO196615 NAO262149:NAO262151 NAO327685:NAO327687 NAO393221:NAO393223 NAO458757:NAO458759 NAO524293:NAO524295 NAO589829:NAO589831 NAO655365:NAO655367 NAO720901:NAO720903 NAO786437:NAO786439 NAO851973:NAO851975 NAO917509:NAO917511 NAO983045:NAO983047 NJE5:NJP7 NJE65540:NJP65542 NJE131076:NJP131078 NJE196612:NJP196614 NJE262148:NJP262150 NJE327684:NJP327686 NJE393220:NJP393222 NJE458756:NJP458758 NJE524292:NJP524294 NJE589828:NJP589830 NJE655364:NJP655366 NJE720900:NJP720902 NJE786436:NJP786438 NJE851972:NJP851974 NJE917508:NJP917510 NJE983044:NJP983046 NJY6:NJY8 NJY65541:NJY65543 NJY131077:NJY131079 NJY196613:NJY196615 NJY262149:NJY262151 NJY327685:NJY327687 NJY393221:NJY393223 NJY458757:NJY458759 NJY524293:NJY524295 NJY589829:NJY589831 NJY655365:NJY655367 NJY720901:NJY720903 NJY786437:NJY786439 NJY851973:NJY851975 NJY917509:NJY917511 NJY983045:NJY983047 NJZ6:NKJ7 NJZ65541:NKJ65542 NJZ131077:NKJ131078 NJZ196613:NKJ196614 NJZ262149:NKJ262150 NJZ327685:NKJ327686 NJZ393221:NKJ393222 NJZ458757:NKJ458758 NJZ524293:NKJ524294 NJZ589829:NKJ589830 NJZ655365:NKJ655366 NJZ720901:NKJ720902 NJZ786437:NKJ786438 NJZ851973:NKJ851974 NJZ917509:NKJ917510 NJZ983045:NKJ983046 NKK6:NKK8 NKK65541:NKK65543 NKK131077:NKK131079 NKK196613:NKK196615 NKK262149:NKK262151 NKK327685:NKK327687 NKK393221:NKK393223 NKK458757:NKK458759 NKK524293:NKK524295 NKK589829:NKK589831 NKK655365:NKK655367 NKK720901:NKK720903 NKK786437:NKK786439 NKK851973:NKK851975 NKK917509:NKK917511 NKK983045:NKK983047 NTA5:NTL7 NTA65540:NTL65542 NTA131076:NTL131078 NTA196612:NTL196614 NTA262148:NTL262150 NTA327684:NTL327686 NTA393220:NTL393222 NTA458756:NTL458758 NTA524292:NTL524294 NTA589828:NTL589830 NTA655364:NTL655366 NTA720900:NTL720902 NTA786436:NTL786438 NTA851972:NTL851974 NTA917508:NTL917510 NTA983044:NTL983046 NTU6:NTU8 NTU65541:NTU65543 NTU131077:NTU131079 NTU196613:NTU196615 NTU262149:NTU262151 NTU327685:NTU327687 NTU393221:NTU393223 NTU458757:NTU458759 NTU524293:NTU524295 NTU589829:NTU589831 NTU655365:NTU655367 NTU720901:NTU720903 NTU786437:NTU786439 NTU851973:NTU851975 NTU917509:NTU917511 NTU983045:NTU983047 NTV6:NUF7 NTV65541:NUF65542 NTV131077:NUF131078 NTV196613:NUF196614 NTV262149:NUF262150 NTV327685:NUF327686 NTV393221:NUF393222 NTV458757:NUF458758 NTV524293:NUF524294 NTV589829:NUF589830 NTV655365:NUF655366 NTV720901:NUF720902 NTV786437:NUF786438 NTV851973:NUF851974 NTV917509:NUF917510 NTV983045:NUF983046 NUG6:NUG8 NUG65541:NUG65543 NUG131077:NUG131079 NUG196613:NUG196615 NUG262149:NUG262151 NUG327685:NUG327687 NUG393221:NUG393223 NUG458757:NUG458759 NUG524293:NUG524295 NUG589829:NUG589831 NUG655365:NUG655367 NUG720901:NUG720903 NUG786437:NUG786439 NUG851973:NUG851975 NUG917509:NUG917511 NUG983045:NUG983047 OCW5:ODH7 OCW65540:ODH65542 OCW131076:ODH131078 OCW196612:ODH196614 OCW262148:ODH262150 OCW327684:ODH327686 OCW393220:ODH393222 OCW458756:ODH458758 OCW524292:ODH524294 OCW589828:ODH589830 OCW655364:ODH655366 OCW720900:ODH720902 OCW786436:ODH786438 OCW851972:ODH851974 OCW917508:ODH917510 OCW983044:ODH983046 ODQ6:ODQ8 ODQ65541:ODQ65543 ODQ131077:ODQ131079 ODQ196613:ODQ196615 ODQ262149:ODQ262151 ODQ327685:ODQ327687 ODQ393221:ODQ393223 ODQ458757:ODQ458759 ODQ524293:ODQ524295 ODQ589829:ODQ589831 ODQ655365:ODQ655367 ODQ720901:ODQ720903 ODQ786437:ODQ786439 ODQ851973:ODQ851975 ODQ917509:ODQ917511 ODQ983045:ODQ983047 ODR6:OEB7 ODR65541:OEB65542 ODR131077:OEB131078 ODR196613:OEB196614 ODR262149:OEB262150 ODR327685:OEB327686 ODR393221:OEB393222 ODR458757:OEB458758 ODR524293:OEB524294 ODR589829:OEB589830 ODR655365:OEB655366 ODR720901:OEB720902 ODR786437:OEB786438 ODR851973:OEB851974 ODR917509:OEB917510 ODR983045:OEB983046 OEC6:OEC8 OEC65541:OEC65543 OEC131077:OEC131079 OEC196613:OEC196615 OEC262149:OEC262151 OEC327685:OEC327687 OEC393221:OEC393223 OEC458757:OEC458759 OEC524293:OEC524295 OEC589829:OEC589831 OEC655365:OEC655367 OEC720901:OEC720903 OEC786437:OEC786439 OEC851973:OEC851975 OEC917509:OEC917511 OEC983045:OEC983047 OMS5:OND7 OMS65540:OND65542 OMS131076:OND131078 OMS196612:OND196614 OMS262148:OND262150 OMS327684:OND327686 OMS393220:OND393222 OMS458756:OND458758 OMS524292:OND524294 OMS589828:OND589830 OMS655364:OND655366 OMS720900:OND720902 OMS786436:OND786438 OMS851972:OND851974 OMS917508:OND917510 OMS983044:OND983046 ONM6:ONM8 ONM65541:ONM65543 ONM131077:ONM131079 ONM196613:ONM196615 ONM262149:ONM262151 ONM327685:ONM327687 ONM393221:ONM393223 ONM458757:ONM458759 ONM524293:ONM524295 ONM589829:ONM589831 ONM655365:ONM655367 ONM720901:ONM720903 ONM786437:ONM786439 ONM851973:ONM851975 ONM917509:ONM917511 ONM983045:ONM983047 ONN6:ONX7 ONN65541:ONX65542 ONN131077:ONX131078 ONN196613:ONX196614 ONN262149:ONX262150 ONN327685:ONX327686 ONN393221:ONX393222 ONN458757:ONX458758 ONN524293:ONX524294 ONN589829:ONX589830 ONN655365:ONX655366 ONN720901:ONX720902 ONN786437:ONX786438 ONN851973:ONX851974 ONN917509:ONX917510 ONN983045:ONX983046 ONY6:ONY8 ONY65541:ONY65543 ONY131077:ONY131079 ONY196613:ONY196615 ONY262149:ONY262151 ONY327685:ONY327687 ONY393221:ONY393223 ONY458757:ONY458759 ONY524293:ONY524295 ONY589829:ONY589831 ONY655365:ONY655367 ONY720901:ONY720903 ONY786437:ONY786439 ONY851973:ONY851975 ONY917509:ONY917511 ONY983045:ONY983047 OWO5:OWZ7 OWO65540:OWZ65542 OWO131076:OWZ131078 OWO196612:OWZ196614 OWO262148:OWZ262150 OWO327684:OWZ327686 OWO393220:OWZ393222 OWO458756:OWZ458758 OWO524292:OWZ524294 OWO589828:OWZ589830 OWO655364:OWZ655366 OWO720900:OWZ720902 OWO786436:OWZ786438 OWO851972:OWZ851974 OWO917508:OWZ917510 OWO983044:OWZ983046 OXI6:OXI8 OXI65541:OXI65543 OXI131077:OXI131079 OXI196613:OXI196615 OXI262149:OXI262151 OXI327685:OXI327687 OXI393221:OXI393223 OXI458757:OXI458759 OXI524293:OXI524295 OXI589829:OXI589831 OXI655365:OXI655367 OXI720901:OXI720903 OXI786437:OXI786439 OXI851973:OXI851975 OXI917509:OXI917511 OXI983045:OXI983047 OXJ6:OXT7 OXJ65541:OXT65542 OXJ131077:OXT131078 OXJ196613:OXT196614 OXJ262149:OXT262150 OXJ327685:OXT327686 OXJ393221:OXT393222 OXJ458757:OXT458758 OXJ524293:OXT524294 OXJ589829:OXT589830 OXJ655365:OXT655366 OXJ720901:OXT720902 OXJ786437:OXT786438 OXJ851973:OXT851974 OXJ917509:OXT917510 OXJ983045:OXT983046 OXU6:OXU8 OXU65541:OXU65543 OXU131077:OXU131079 OXU196613:OXU196615 OXU262149:OXU262151 OXU327685:OXU327687 OXU393221:OXU393223 OXU458757:OXU458759 OXU524293:OXU524295 OXU589829:OXU589831 OXU655365:OXU655367 OXU720901:OXU720903 OXU786437:OXU786439 OXU851973:OXU851975 OXU917509:OXU917511 OXU983045:OXU983047 PGK5:PGV7 PGK65540:PGV65542 PGK131076:PGV131078 PGK196612:PGV196614 PGK262148:PGV262150 PGK327684:PGV327686 PGK393220:PGV393222 PGK458756:PGV458758 PGK524292:PGV524294 PGK589828:PGV589830 PGK655364:PGV655366 PGK720900:PGV720902 PGK786436:PGV786438 PGK851972:PGV851974 PGK917508:PGV917510 PGK983044:PGV983046 PHE6:PHE8 PHE65541:PHE65543 PHE131077:PHE131079 PHE196613:PHE196615 PHE262149:PHE262151 PHE327685:PHE327687 PHE393221:PHE393223 PHE458757:PHE458759 PHE524293:PHE524295 PHE589829:PHE589831 PHE655365:PHE655367 PHE720901:PHE720903 PHE786437:PHE786439 PHE851973:PHE851975 PHE917509:PHE917511 PHE983045:PHE983047 PHF6:PHP7 PHF65541:PHP65542 PHF131077:PHP131078 PHF196613:PHP196614 PHF262149:PHP262150 PHF327685:PHP327686 PHF393221:PHP393222 PHF458757:PHP458758 PHF524293:PHP524294 PHF589829:PHP589830 PHF655365:PHP655366 PHF720901:PHP720902 PHF786437:PHP786438 PHF851973:PHP851974 PHF917509:PHP917510 PHF983045:PHP983046 PHQ6:PHQ8 PHQ65541:PHQ65543 PHQ131077:PHQ131079 PHQ196613:PHQ196615 PHQ262149:PHQ262151 PHQ327685:PHQ327687 PHQ393221:PHQ393223 PHQ458757:PHQ458759 PHQ524293:PHQ524295 PHQ589829:PHQ589831 PHQ655365:PHQ655367 PHQ720901:PHQ720903 PHQ786437:PHQ786439 PHQ851973:PHQ851975 PHQ917509:PHQ917511 PHQ983045:PHQ983047 PQG5:PQR7 PQG65540:PQR65542 PQG131076:PQR131078 PQG196612:PQR196614 PQG262148:PQR262150 PQG327684:PQR327686 PQG393220:PQR393222 PQG458756:PQR458758 PQG524292:PQR524294 PQG589828:PQR589830 PQG655364:PQR655366 PQG720900:PQR720902 PQG786436:PQR786438 PQG851972:PQR851974 PQG917508:PQR917510 PQG983044:PQR983046 PRA6:PRA8 PRA65541:PRA65543 PRA131077:PRA131079 PRA196613:PRA196615 PRA262149:PRA262151 PRA327685:PRA327687 PRA393221:PRA393223 PRA458757:PRA458759 PRA524293:PRA524295 PRA589829:PRA589831 PRA655365:PRA655367 PRA720901:PRA720903 PRA786437:PRA786439 PRA851973:PRA851975 PRA917509:PRA917511 PRA983045:PRA983047 PRB6:PRL7 PRB65541:PRL65542 PRB131077:PRL131078 PRB196613:PRL196614 PRB262149:PRL262150 PRB327685:PRL327686 PRB393221:PRL393222 PRB458757:PRL458758 PRB524293:PRL524294 PRB589829:PRL589830 PRB655365:PRL655366 PRB720901:PRL720902 PRB786437:PRL786438 PRB851973:PRL851974 PRB917509:PRL917510 PRB983045:PRL983046 PRM6:PRM8 PRM65541:PRM65543 PRM131077:PRM131079 PRM196613:PRM196615 PRM262149:PRM262151 PRM327685:PRM327687 PRM393221:PRM393223 PRM458757:PRM458759 PRM524293:PRM524295 PRM589829:PRM589831 PRM655365:PRM655367 PRM720901:PRM720903 PRM786437:PRM786439 PRM851973:PRM851975 PRM917509:PRM917511 PRM983045:PRM983047 QAC5:QAN7 QAC65540:QAN65542 QAC131076:QAN131078 QAC196612:QAN196614 QAC262148:QAN262150 QAC327684:QAN327686 QAC393220:QAN393222 QAC458756:QAN458758 QAC524292:QAN524294 QAC589828:QAN589830 QAC655364:QAN655366 QAC720900:QAN720902 QAC786436:QAN786438 QAC851972:QAN851974 QAC917508:QAN917510 QAC983044:QAN983046 QAW6:QAW8 QAW65541:QAW65543 QAW131077:QAW131079 QAW196613:QAW196615 QAW262149:QAW262151 QAW327685:QAW327687 QAW393221:QAW393223 QAW458757:QAW458759 QAW524293:QAW524295 QAW589829:QAW589831 QAW655365:QAW655367 QAW720901:QAW720903 QAW786437:QAW786439 QAW851973:QAW851975 QAW917509:QAW917511 QAW983045:QAW983047 QAX6:QBH7 QAX65541:QBH65542 QAX131077:QBH131078 QAX196613:QBH196614 QAX262149:QBH262150 QAX327685:QBH327686 QAX393221:QBH393222 QAX458757:QBH458758 QAX524293:QBH524294 QAX589829:QBH589830 QAX655365:QBH655366 QAX720901:QBH720902 QAX786437:QBH786438 QAX851973:QBH851974 QAX917509:QBH917510 QAX983045:QBH983046 QBI6:QBI8 QBI65541:QBI65543 QBI131077:QBI131079 QBI196613:QBI196615 QBI262149:QBI262151 QBI327685:QBI327687 QBI393221:QBI393223 QBI458757:QBI458759 QBI524293:QBI524295 QBI589829:QBI589831 QBI655365:QBI655367 QBI720901:QBI720903 QBI786437:QBI786439 QBI851973:QBI851975 QBI917509:QBI917511 QBI983045:QBI983047 QJY5:QKJ7 QJY65540:QKJ65542 QJY131076:QKJ131078 QJY196612:QKJ196614 QJY262148:QKJ262150 QJY327684:QKJ327686 QJY393220:QKJ393222 QJY458756:QKJ458758 QJY524292:QKJ524294 QJY589828:QKJ589830 QJY655364:QKJ655366 QJY720900:QKJ720902 QJY786436:QKJ786438 QJY851972:QKJ851974 QJY917508:QKJ917510 QJY983044:QKJ983046 QKS6:QKS8 QKS65541:QKS65543 QKS131077:QKS131079 QKS196613:QKS196615 QKS262149:QKS262151 QKS327685:QKS327687 QKS393221:QKS393223 QKS458757:QKS458759 QKS524293:QKS524295 QKS589829:QKS589831 QKS655365:QKS655367 QKS720901:QKS720903 QKS786437:QKS786439 QKS851973:QKS851975 QKS917509:QKS917511 QKS983045:QKS983047 QKT6:QLD7 QKT65541:QLD65542 QKT131077:QLD131078 QKT196613:QLD196614 QKT262149:QLD262150 QKT327685:QLD327686 QKT393221:QLD393222 QKT458757:QLD458758 QKT524293:QLD524294 QKT589829:QLD589830 QKT655365:QLD655366 QKT720901:QLD720902 QKT786437:QLD786438 QKT851973:QLD851974 QKT917509:QLD917510 QKT983045:QLD983046 QLE6:QLE8 QLE65541:QLE65543 QLE131077:QLE131079 QLE196613:QLE196615 QLE262149:QLE262151 QLE327685:QLE327687 QLE393221:QLE393223 QLE458757:QLE458759 QLE524293:QLE524295 QLE589829:QLE589831 QLE655365:QLE655367 QLE720901:QLE720903 QLE786437:QLE786439 QLE851973:QLE851975 QLE917509:QLE917511 QLE983045:QLE983047 QTU5:QUF7 QTU65540:QUF65542 QTU131076:QUF131078 QTU196612:QUF196614 QTU262148:QUF262150 QTU327684:QUF327686 QTU393220:QUF393222 QTU458756:QUF458758 QTU524292:QUF524294 QTU589828:QUF589830 QTU655364:QUF655366 QTU720900:QUF720902 QTU786436:QUF786438 QTU851972:QUF851974 QTU917508:QUF917510 QTU983044:QUF983046 QUO6:QUO8 QUO65541:QUO65543 QUO131077:QUO131079 QUO196613:QUO196615 QUO262149:QUO262151 QUO327685:QUO327687 QUO393221:QUO393223 QUO458757:QUO458759 QUO524293:QUO524295 QUO589829:QUO589831 QUO655365:QUO655367 QUO720901:QUO720903 QUO786437:QUO786439 QUO851973:QUO851975 QUO917509:QUO917511 QUO983045:QUO983047 QUP6:QUZ7 QUP65541:QUZ65542 QUP131077:QUZ131078 QUP196613:QUZ196614 QUP262149:QUZ262150 QUP327685:QUZ327686 QUP393221:QUZ393222 QUP458757:QUZ458758 QUP524293:QUZ524294 QUP589829:QUZ589830 QUP655365:QUZ655366 QUP720901:QUZ720902 QUP786437:QUZ786438 QUP851973:QUZ851974 QUP917509:QUZ917510 QUP983045:QUZ983046 QVA6:QVA8 QVA65541:QVA65543 QVA131077:QVA131079 QVA196613:QVA196615 QVA262149:QVA262151 QVA327685:QVA327687 QVA393221:QVA393223 QVA458757:QVA458759 QVA524293:QVA524295 QVA589829:QVA589831 QVA655365:QVA655367 QVA720901:QVA720903 QVA786437:QVA786439 QVA851973:QVA851975 QVA917509:QVA917511 QVA983045:QVA983047 RDQ5:REB7 RDQ65540:REB65542 RDQ131076:REB131078 RDQ196612:REB196614 RDQ262148:REB262150 RDQ327684:REB327686 RDQ393220:REB393222 RDQ458756:REB458758 RDQ524292:REB524294 RDQ589828:REB589830 RDQ655364:REB655366 RDQ720900:REB720902 RDQ786436:REB786438 RDQ851972:REB851974 RDQ917508:REB917510 RDQ983044:REB983046 REK6:REK8 REK65541:REK65543 REK131077:REK131079 REK196613:REK196615 REK262149:REK262151 REK327685:REK327687 REK393221:REK393223 REK458757:REK458759 REK524293:REK524295 REK589829:REK589831 REK655365:REK655367 REK720901:REK720903 REK786437:REK786439 REK851973:REK851975 REK917509:REK917511 REK983045:REK983047 REL6:REV7 REL65541:REV65542 REL131077:REV131078 REL196613:REV196614 REL262149:REV262150 REL327685:REV327686 REL393221:REV393222 REL458757:REV458758 REL524293:REV524294 REL589829:REV589830 REL655365:REV655366 REL720901:REV720902 REL786437:REV786438 REL851973:REV851974 REL917509:REV917510 REL983045:REV983046 REW6:REW8 REW65541:REW65543 REW131077:REW131079 REW196613:REW196615 REW262149:REW262151 REW327685:REW327687 REW393221:REW393223 REW458757:REW458759 REW524293:REW524295 REW589829:REW589831 REW655365:REW655367 REW720901:REW720903 REW786437:REW786439 REW851973:REW851975 REW917509:REW917511 REW983045:REW983047 RNM5:RNX7 RNM65540:RNX65542 RNM131076:RNX131078 RNM196612:RNX196614 RNM262148:RNX262150 RNM327684:RNX327686 RNM393220:RNX393222 RNM458756:RNX458758 RNM524292:RNX524294 RNM589828:RNX589830 RNM655364:RNX655366 RNM720900:RNX720902 RNM786436:RNX786438 RNM851972:RNX851974 RNM917508:RNX917510 RNM983044:RNX983046 ROG6:ROG8 ROG65541:ROG65543 ROG131077:ROG131079 ROG196613:ROG196615 ROG262149:ROG262151 ROG327685:ROG327687 ROG393221:ROG393223 ROG458757:ROG458759 ROG524293:ROG524295 ROG589829:ROG589831 ROG655365:ROG655367 ROG720901:ROG720903 ROG786437:ROG786439 ROG851973:ROG851975 ROG917509:ROG917511 ROG983045:ROG983047 ROH6:ROR7 ROH65541:ROR65542 ROH131077:ROR131078 ROH196613:ROR196614 ROH262149:ROR262150 ROH327685:ROR327686 ROH393221:ROR393222 ROH458757:ROR458758 ROH524293:ROR524294 ROH589829:ROR589830 ROH655365:ROR655366 ROH720901:ROR720902 ROH786437:ROR786438 ROH851973:ROR851974 ROH917509:ROR917510 ROH983045:ROR983046 ROS6:ROS8 ROS65541:ROS65543 ROS131077:ROS131079 ROS196613:ROS196615 ROS262149:ROS262151 ROS327685:ROS327687 ROS393221:ROS393223 ROS458757:ROS458759 ROS524293:ROS524295 ROS589829:ROS589831 ROS655365:ROS655367 ROS720901:ROS720903 ROS786437:ROS786439 ROS851973:ROS851975 ROS917509:ROS917511 ROS983045:ROS983047 RXI5:RXT7 RXI65540:RXT65542 RXI131076:RXT131078 RXI196612:RXT196614 RXI262148:RXT262150 RXI327684:RXT327686 RXI393220:RXT393222 RXI458756:RXT458758 RXI524292:RXT524294 RXI589828:RXT589830 RXI655364:RXT655366 RXI720900:RXT720902 RXI786436:RXT786438 RXI851972:RXT851974 RXI917508:RXT917510 RXI983044:RXT983046 RYC6:RYC8 RYC65541:RYC65543 RYC131077:RYC131079 RYC196613:RYC196615 RYC262149:RYC262151 RYC327685:RYC327687 RYC393221:RYC393223 RYC458757:RYC458759 RYC524293:RYC524295 RYC589829:RYC589831 RYC655365:RYC655367 RYC720901:RYC720903 RYC786437:RYC786439 RYC851973:RYC851975 RYC917509:RYC917511 RYC983045:RYC983047 RYD6:RYN7 RYD65541:RYN65542 RYD131077:RYN131078 RYD196613:RYN196614 RYD262149:RYN262150 RYD327685:RYN327686 RYD393221:RYN393222 RYD458757:RYN458758 RYD524293:RYN524294 RYD589829:RYN589830 RYD655365:RYN655366 RYD720901:RYN720902 RYD786437:RYN786438 RYD851973:RYN851974 RYD917509:RYN917510 RYD983045:RYN983046 RYO6:RYO8 RYO65541:RYO65543 RYO131077:RYO131079 RYO196613:RYO196615 RYO262149:RYO262151 RYO327685:RYO327687 RYO393221:RYO393223 RYO458757:RYO458759 RYO524293:RYO524295 RYO589829:RYO589831 RYO655365:RYO655367 RYO720901:RYO720903 RYO786437:RYO786439 RYO851973:RYO851975 RYO917509:RYO917511 RYO983045:RYO983047 SHE5:SHP7 SHE65540:SHP65542 SHE131076:SHP131078 SHE196612:SHP196614 SHE262148:SHP262150 SHE327684:SHP327686 SHE393220:SHP393222 SHE458756:SHP458758 SHE524292:SHP524294 SHE589828:SHP589830 SHE655364:SHP655366 SHE720900:SHP720902 SHE786436:SHP786438 SHE851972:SHP851974 SHE917508:SHP917510 SHE983044:SHP983046 SHY6:SHY8 SHY65541:SHY65543 SHY131077:SHY131079 SHY196613:SHY196615 SHY262149:SHY262151 SHY327685:SHY327687 SHY393221:SHY393223 SHY458757:SHY458759 SHY524293:SHY524295 SHY589829:SHY589831 SHY655365:SHY655367 SHY720901:SHY720903 SHY786437:SHY786439 SHY851973:SHY851975 SHY917509:SHY917511 SHY983045:SHY983047 SHZ6:SIJ7 SHZ65541:SIJ65542 SHZ131077:SIJ131078 SHZ196613:SIJ196614 SHZ262149:SIJ262150 SHZ327685:SIJ327686 SHZ393221:SIJ393222 SHZ458757:SIJ458758 SHZ524293:SIJ524294 SHZ589829:SIJ589830 SHZ655365:SIJ655366 SHZ720901:SIJ720902 SHZ786437:SIJ786438 SHZ851973:SIJ851974 SHZ917509:SIJ917510 SHZ983045:SIJ983046 SIK6:SIK8 SIK65541:SIK65543 SIK131077:SIK131079 SIK196613:SIK196615 SIK262149:SIK262151 SIK327685:SIK327687 SIK393221:SIK393223 SIK458757:SIK458759 SIK524293:SIK524295 SIK589829:SIK589831 SIK655365:SIK655367 SIK720901:SIK720903 SIK786437:SIK786439 SIK851973:SIK851975 SIK917509:SIK917511 SIK983045:SIK983047 SRA5:SRL7 SRA65540:SRL65542 SRA131076:SRL131078 SRA196612:SRL196614 SRA262148:SRL262150 SRA327684:SRL327686 SRA393220:SRL393222 SRA458756:SRL458758 SRA524292:SRL524294 SRA589828:SRL589830 SRA655364:SRL655366 SRA720900:SRL720902 SRA786436:SRL786438 SRA851972:SRL851974 SRA917508:SRL917510 SRA983044:SRL983046 SRU6:SRU8 SRU65541:SRU65543 SRU131077:SRU131079 SRU196613:SRU196615 SRU262149:SRU262151 SRU327685:SRU327687 SRU393221:SRU393223 SRU458757:SRU458759 SRU524293:SRU524295 SRU589829:SRU589831 SRU655365:SRU655367 SRU720901:SRU720903 SRU786437:SRU786439 SRU851973:SRU851975 SRU917509:SRU917511 SRU983045:SRU983047 SRV6:SSF7 SRV65541:SSF65542 SRV131077:SSF131078 SRV196613:SSF196614 SRV262149:SSF262150 SRV327685:SSF327686 SRV393221:SSF393222 SRV458757:SSF458758 SRV524293:SSF524294 SRV589829:SSF589830 SRV655365:SSF655366 SRV720901:SSF720902 SRV786437:SSF786438 SRV851973:SSF851974 SRV917509:SSF917510 SRV983045:SSF983046 SSG6:SSG8 SSG65541:SSG65543 SSG131077:SSG131079 SSG196613:SSG196615 SSG262149:SSG262151 SSG327685:SSG327687 SSG393221:SSG393223 SSG458757:SSG458759 SSG524293:SSG524295 SSG589829:SSG589831 SSG655365:SSG655367 SSG720901:SSG720903 SSG786437:SSG786439 SSG851973:SSG851975 SSG917509:SSG917511 SSG983045:SSG983047 TAW5:TBH7 TAW65540:TBH65542 TAW131076:TBH131078 TAW196612:TBH196614 TAW262148:TBH262150 TAW327684:TBH327686 TAW393220:TBH393222 TAW458756:TBH458758 TAW524292:TBH524294 TAW589828:TBH589830 TAW655364:TBH655366 TAW720900:TBH720902 TAW786436:TBH786438 TAW851972:TBH851974 TAW917508:TBH917510 TAW983044:TBH983046 TBQ6:TBQ8 TBQ65541:TBQ65543 TBQ131077:TBQ131079 TBQ196613:TBQ196615 TBQ262149:TBQ262151 TBQ327685:TBQ327687 TBQ393221:TBQ393223 TBQ458757:TBQ458759 TBQ524293:TBQ524295 TBQ589829:TBQ589831 TBQ655365:TBQ655367 TBQ720901:TBQ720903 TBQ786437:TBQ786439 TBQ851973:TBQ851975 TBQ917509:TBQ917511 TBQ983045:TBQ983047 TBR6:TCB7 TBR65541:TCB65542 TBR131077:TCB131078 TBR196613:TCB196614 TBR262149:TCB262150 TBR327685:TCB327686 TBR393221:TCB393222 TBR458757:TCB458758 TBR524293:TCB524294 TBR589829:TCB589830 TBR655365:TCB655366 TBR720901:TCB720902 TBR786437:TCB786438 TBR851973:TCB851974 TBR917509:TCB917510 TBR983045:TCB983046 TCC6:TCC8 TCC65541:TCC65543 TCC131077:TCC131079 TCC196613:TCC196615 TCC262149:TCC262151 TCC327685:TCC327687 TCC393221:TCC393223 TCC458757:TCC458759 TCC524293:TCC524295 TCC589829:TCC589831 TCC655365:TCC655367 TCC720901:TCC720903 TCC786437:TCC786439 TCC851973:TCC851975 TCC917509:TCC917511 TCC983045:TCC983047 TKS5:TLD7 TKS65540:TLD65542 TKS131076:TLD131078 TKS196612:TLD196614 TKS262148:TLD262150 TKS327684:TLD327686 TKS393220:TLD393222 TKS458756:TLD458758 TKS524292:TLD524294 TKS589828:TLD589830 TKS655364:TLD655366 TKS720900:TLD720902 TKS786436:TLD786438 TKS851972:TLD851974 TKS917508:TLD917510 TKS983044:TLD983046 TLM6:TLM8 TLM65541:TLM65543 TLM131077:TLM131079 TLM196613:TLM196615 TLM262149:TLM262151 TLM327685:TLM327687 TLM393221:TLM393223 TLM458757:TLM458759 TLM524293:TLM524295 TLM589829:TLM589831 TLM655365:TLM655367 TLM720901:TLM720903 TLM786437:TLM786439 TLM851973:TLM851975 TLM917509:TLM917511 TLM983045:TLM983047 TLN6:TLX7 TLN65541:TLX65542 TLN131077:TLX131078 TLN196613:TLX196614 TLN262149:TLX262150 TLN327685:TLX327686 TLN393221:TLX393222 TLN458757:TLX458758 TLN524293:TLX524294 TLN589829:TLX589830 TLN655365:TLX655366 TLN720901:TLX720902 TLN786437:TLX786438 TLN851973:TLX851974 TLN917509:TLX917510 TLN983045:TLX983046 TLY6:TLY8 TLY65541:TLY65543 TLY131077:TLY131079 TLY196613:TLY196615 TLY262149:TLY262151 TLY327685:TLY327687 TLY393221:TLY393223 TLY458757:TLY458759 TLY524293:TLY524295 TLY589829:TLY589831 TLY655365:TLY655367 TLY720901:TLY720903 TLY786437:TLY786439 TLY851973:TLY851975 TLY917509:TLY917511 TLY983045:TLY983047 TUO5:TUZ7 TUO65540:TUZ65542 TUO131076:TUZ131078 TUO196612:TUZ196614 TUO262148:TUZ262150 TUO327684:TUZ327686 TUO393220:TUZ393222 TUO458756:TUZ458758 TUO524292:TUZ524294 TUO589828:TUZ589830 TUO655364:TUZ655366 TUO720900:TUZ720902 TUO786436:TUZ786438 TUO851972:TUZ851974 TUO917508:TUZ917510 TUO983044:TUZ983046 TVI6:TVI8 TVI65541:TVI65543 TVI131077:TVI131079 TVI196613:TVI196615 TVI262149:TVI262151 TVI327685:TVI327687 TVI393221:TVI393223 TVI458757:TVI458759 TVI524293:TVI524295 TVI589829:TVI589831 TVI655365:TVI655367 TVI720901:TVI720903 TVI786437:TVI786439 TVI851973:TVI851975 TVI917509:TVI917511 TVI983045:TVI983047 TVJ6:TVT7 TVJ65541:TVT65542 TVJ131077:TVT131078 TVJ196613:TVT196614 TVJ262149:TVT262150 TVJ327685:TVT327686 TVJ393221:TVT393222 TVJ458757:TVT458758 TVJ524293:TVT524294 TVJ589829:TVT589830 TVJ655365:TVT655366 TVJ720901:TVT720902 TVJ786437:TVT786438 TVJ851973:TVT851974 TVJ917509:TVT917510 TVJ983045:TVT983046 TVU6:TVU8 TVU65541:TVU65543 TVU131077:TVU131079 TVU196613:TVU196615 TVU262149:TVU262151 TVU327685:TVU327687 TVU393221:TVU393223 TVU458757:TVU458759 TVU524293:TVU524295 TVU589829:TVU589831 TVU655365:TVU655367 TVU720901:TVU720903 TVU786437:TVU786439 TVU851973:TVU851975 TVU917509:TVU917511 TVU983045:TVU983047 UEK5:UEV7 UEK65540:UEV65542 UEK131076:UEV131078 UEK196612:UEV196614 UEK262148:UEV262150 UEK327684:UEV327686 UEK393220:UEV393222 UEK458756:UEV458758 UEK524292:UEV524294 UEK589828:UEV589830 UEK655364:UEV655366 UEK720900:UEV720902 UEK786436:UEV786438 UEK851972:UEV851974 UEK917508:UEV917510 UEK983044:UEV983046 UFE6:UFE8 UFE65541:UFE65543 UFE131077:UFE131079 UFE196613:UFE196615 UFE262149:UFE262151 UFE327685:UFE327687 UFE393221:UFE393223 UFE458757:UFE458759 UFE524293:UFE524295 UFE589829:UFE589831 UFE655365:UFE655367 UFE720901:UFE720903 UFE786437:UFE786439 UFE851973:UFE851975 UFE917509:UFE917511 UFE983045:UFE983047 UFF6:UFP7 UFF65541:UFP65542 UFF131077:UFP131078 UFF196613:UFP196614 UFF262149:UFP262150 UFF327685:UFP327686 UFF393221:UFP393222 UFF458757:UFP458758 UFF524293:UFP524294 UFF589829:UFP589830 UFF655365:UFP655366 UFF720901:UFP720902 UFF786437:UFP786438 UFF851973:UFP851974 UFF917509:UFP917510 UFF983045:UFP983046 UFQ6:UFQ8 UFQ65541:UFQ65543 UFQ131077:UFQ131079 UFQ196613:UFQ196615 UFQ262149:UFQ262151 UFQ327685:UFQ327687 UFQ393221:UFQ393223 UFQ458757:UFQ458759 UFQ524293:UFQ524295 UFQ589829:UFQ589831 UFQ655365:UFQ655367 UFQ720901:UFQ720903 UFQ786437:UFQ786439 UFQ851973:UFQ851975 UFQ917509:UFQ917511 UFQ983045:UFQ983047 UOG5:UOR7 UOG65540:UOR65542 UOG131076:UOR131078 UOG196612:UOR196614 UOG262148:UOR262150 UOG327684:UOR327686 UOG393220:UOR393222 UOG458756:UOR458758 UOG524292:UOR524294 UOG589828:UOR589830 UOG655364:UOR655366 UOG720900:UOR720902 UOG786436:UOR786438 UOG851972:UOR851974 UOG917508:UOR917510 UOG983044:UOR983046 UPA6:UPA8 UPA65541:UPA65543 UPA131077:UPA131079 UPA196613:UPA196615 UPA262149:UPA262151 UPA327685:UPA327687 UPA393221:UPA393223 UPA458757:UPA458759 UPA524293:UPA524295 UPA589829:UPA589831 UPA655365:UPA655367 UPA720901:UPA720903 UPA786437:UPA786439 UPA851973:UPA851975 UPA917509:UPA917511 UPA983045:UPA983047 UPB6:UPL7 UPB65541:UPL65542 UPB131077:UPL131078 UPB196613:UPL196614 UPB262149:UPL262150 UPB327685:UPL327686 UPB393221:UPL393222 UPB458757:UPL458758 UPB524293:UPL524294 UPB589829:UPL589830 UPB655365:UPL655366 UPB720901:UPL720902 UPB786437:UPL786438 UPB851973:UPL851974 UPB917509:UPL917510 UPB983045:UPL983046 UPM6:UPM8 UPM65541:UPM65543 UPM131077:UPM131079 UPM196613:UPM196615 UPM262149:UPM262151 UPM327685:UPM327687 UPM393221:UPM393223 UPM458757:UPM458759 UPM524293:UPM524295 UPM589829:UPM589831 UPM655365:UPM655367 UPM720901:UPM720903 UPM786437:UPM786439 UPM851973:UPM851975 UPM917509:UPM917511 UPM983045:UPM983047 UYC5:UYN7 UYC65540:UYN65542 UYC131076:UYN131078 UYC196612:UYN196614 UYC262148:UYN262150 UYC327684:UYN327686 UYC393220:UYN393222 UYC458756:UYN458758 UYC524292:UYN524294 UYC589828:UYN589830 UYC655364:UYN655366 UYC720900:UYN720902 UYC786436:UYN786438 UYC851972:UYN851974 UYC917508:UYN917510 UYC983044:UYN983046 UYW6:UYW8 UYW65541:UYW65543 UYW131077:UYW131079 UYW196613:UYW196615 UYW262149:UYW262151 UYW327685:UYW327687 UYW393221:UYW393223 UYW458757:UYW458759 UYW524293:UYW524295 UYW589829:UYW589831 UYW655365:UYW655367 UYW720901:UYW720903 UYW786437:UYW786439 UYW851973:UYW851975 UYW917509:UYW917511 UYW983045:UYW983047 UYX6:UZH7 UYX65541:UZH65542 UYX131077:UZH131078 UYX196613:UZH196614 UYX262149:UZH262150 UYX327685:UZH327686 UYX393221:UZH393222 UYX458757:UZH458758 UYX524293:UZH524294 UYX589829:UZH589830 UYX655365:UZH655366 UYX720901:UZH720902 UYX786437:UZH786438 UYX851973:UZH851974 UYX917509:UZH917510 UYX983045:UZH983046 UZI6:UZI8 UZI65541:UZI65543 UZI131077:UZI131079 UZI196613:UZI196615 UZI262149:UZI262151 UZI327685:UZI327687 UZI393221:UZI393223 UZI458757:UZI458759 UZI524293:UZI524295 UZI589829:UZI589831 UZI655365:UZI655367 UZI720901:UZI720903 UZI786437:UZI786439 UZI851973:UZI851975 UZI917509:UZI917511 UZI983045:UZI983047 VHY5:VIJ7 VHY65540:VIJ65542 VHY131076:VIJ131078 VHY196612:VIJ196614 VHY262148:VIJ262150 VHY327684:VIJ327686 VHY393220:VIJ393222 VHY458756:VIJ458758 VHY524292:VIJ524294 VHY589828:VIJ589830 VHY655364:VIJ655366 VHY720900:VIJ720902 VHY786436:VIJ786438 VHY851972:VIJ851974 VHY917508:VIJ917510 VHY983044:VIJ983046 VIS6:VIS8 VIS65541:VIS65543 VIS131077:VIS131079 VIS196613:VIS196615 VIS262149:VIS262151 VIS327685:VIS327687 VIS393221:VIS393223 VIS458757:VIS458759 VIS524293:VIS524295 VIS589829:VIS589831 VIS655365:VIS655367 VIS720901:VIS720903 VIS786437:VIS786439 VIS851973:VIS851975 VIS917509:VIS917511 VIS983045:VIS983047 VIT6:VJD7 VIT65541:VJD65542 VIT131077:VJD131078 VIT196613:VJD196614 VIT262149:VJD262150 VIT327685:VJD327686 VIT393221:VJD393222 VIT458757:VJD458758 VIT524293:VJD524294 VIT589829:VJD589830 VIT655365:VJD655366 VIT720901:VJD720902 VIT786437:VJD786438 VIT851973:VJD851974 VIT917509:VJD917510 VIT983045:VJD983046 VJE6:VJE8 VJE65541:VJE65543 VJE131077:VJE131079 VJE196613:VJE196615 VJE262149:VJE262151 VJE327685:VJE327687 VJE393221:VJE393223 VJE458757:VJE458759 VJE524293:VJE524295 VJE589829:VJE589831 VJE655365:VJE655367 VJE720901:VJE720903 VJE786437:VJE786439 VJE851973:VJE851975 VJE917509:VJE917511 VJE983045:VJE983047 VRU5:VSF7 VRU65540:VSF65542 VRU131076:VSF131078 VRU196612:VSF196614 VRU262148:VSF262150 VRU327684:VSF327686 VRU393220:VSF393222 VRU458756:VSF458758 VRU524292:VSF524294 VRU589828:VSF589830 VRU655364:VSF655366 VRU720900:VSF720902 VRU786436:VSF786438 VRU851972:VSF851974 VRU917508:VSF917510 VRU983044:VSF983046 VSO6:VSO8 VSO65541:VSO65543 VSO131077:VSO131079 VSO196613:VSO196615 VSO262149:VSO262151 VSO327685:VSO327687 VSO393221:VSO393223 VSO458757:VSO458759 VSO524293:VSO524295 VSO589829:VSO589831 VSO655365:VSO655367 VSO720901:VSO720903 VSO786437:VSO786439 VSO851973:VSO851975 VSO917509:VSO917511 VSO983045:VSO983047 VSP6:VSZ7 VSP65541:VSZ65542 VSP131077:VSZ131078 VSP196613:VSZ196614 VSP262149:VSZ262150 VSP327685:VSZ327686 VSP393221:VSZ393222 VSP458757:VSZ458758 VSP524293:VSZ524294 VSP589829:VSZ589830 VSP655365:VSZ655366 VSP720901:VSZ720902 VSP786437:VSZ786438 VSP851973:VSZ851974 VSP917509:VSZ917510 VSP983045:VSZ983046 VTA6:VTA8 VTA65541:VTA65543 VTA131077:VTA131079 VTA196613:VTA196615 VTA262149:VTA262151 VTA327685:VTA327687 VTA393221:VTA393223 VTA458757:VTA458759 VTA524293:VTA524295 VTA589829:VTA589831 VTA655365:VTA655367 VTA720901:VTA720903 VTA786437:VTA786439 VTA851973:VTA851975 VTA917509:VTA917511 VTA983045:VTA983047 WBQ5:WCB7 WBQ65540:WCB65542 WBQ131076:WCB131078 WBQ196612:WCB196614 WBQ262148:WCB262150 WBQ327684:WCB327686 WBQ393220:WCB393222 WBQ458756:WCB458758 WBQ524292:WCB524294 WBQ589828:WCB589830 WBQ655364:WCB655366 WBQ720900:WCB720902 WBQ786436:WCB786438 WBQ851972:WCB851974 WBQ917508:WCB917510 WBQ983044:WCB983046 WCK6:WCK8 WCK65541:WCK65543 WCK131077:WCK131079 WCK196613:WCK196615 WCK262149:WCK262151 WCK327685:WCK327687 WCK393221:WCK393223 WCK458757:WCK458759 WCK524293:WCK524295 WCK589829:WCK589831 WCK655365:WCK655367 WCK720901:WCK720903 WCK786437:WCK786439 WCK851973:WCK851975 WCK917509:WCK917511 WCK983045:WCK983047 WCL6:WCV7 WCL65541:WCV65542 WCL131077:WCV131078 WCL196613:WCV196614 WCL262149:WCV262150 WCL327685:WCV327686 WCL393221:WCV393222 WCL458757:WCV458758 WCL524293:WCV524294 WCL589829:WCV589830 WCL655365:WCV655366 WCL720901:WCV720902 WCL786437:WCV786438 WCL851973:WCV851974 WCL917509:WCV917510 WCL983045:WCV983046 WCW6:WCW8 WCW65541:WCW65543 WCW131077:WCW131079 WCW196613:WCW196615 WCW262149:WCW262151 WCW327685:WCW327687 WCW393221:WCW393223 WCW458757:WCW458759 WCW524293:WCW524295 WCW589829:WCW589831 WCW655365:WCW655367 WCW720901:WCW720903 WCW786437:WCW786439 WCW851973:WCW851975 WCW917509:WCW917511 WCW983045:WCW983047 WLM5:WLX7 WLM65540:WLX65542 WLM131076:WLX131078 WLM196612:WLX196614 WLM262148:WLX262150 WLM327684:WLX327686 WLM393220:WLX393222 WLM458756:WLX458758 WLM524292:WLX524294 WLM589828:WLX589830 WLM655364:WLX655366 WLM720900:WLX720902 WLM786436:WLX786438 WLM851972:WLX851974 WLM917508:WLX917510 WLM983044:WLX983046 WMG6:WMG8 WMG65541:WMG65543 WMG131077:WMG131079 WMG196613:WMG196615 WMG262149:WMG262151 WMG327685:WMG327687 WMG393221:WMG393223 WMG458757:WMG458759 WMG524293:WMG524295 WMG589829:WMG589831 WMG655365:WMG655367 WMG720901:WMG720903 WMG786437:WMG786439 WMG851973:WMG851975 WMG917509:WMG917511 WMG983045:WMG983047 WMH6:WMR7 WMH65541:WMR65542 WMH131077:WMR131078 WMH196613:WMR196614 WMH262149:WMR262150 WMH327685:WMR327686 WMH393221:WMR393222 WMH458757:WMR458758 WMH524293:WMR524294 WMH589829:WMR589830 WMH655365:WMR655366 WMH720901:WMR720902 WMH786437:WMR786438 WMH851973:WMR851974 WMH917509:WMR917510 WMH983045:WMR983046 WMS6:WMS8 WMS65541:WMS65543 WMS131077:WMS131079 WMS196613:WMS196615 WMS262149:WMS262151 WMS327685:WMS327687 WMS393221:WMS393223 WMS458757:WMS458759 WMS524293:WMS524295 WMS589829:WMS589831 WMS655365:WMS655367 WMS720901:WMS720903 WMS786437:WMS786439 WMS851973:WMS851975 WMS917509:WMS917511 WMS983045:WMS983047 WVI5:WVT7 WVI65540:WVT65542 WVI131076:WVT131078 WVI196612:WVT196614 WVI262148:WVT262150 WVI327684:WVT327686 WVI393220:WVT393222 WVI458756:WVT458758 WVI524292:WVT524294 WVI589828:WVT589830 WVI655364:WVT655366 WVI720900:WVT720902 WVI786436:WVT786438 WVI851972:WVT851974 WVI917508:WVT917510 WVI983044:WVT983046 WWC6:WWC8 WWC65541:WWC65543 WWC131077:WWC131079 WWC196613:WWC196615 WWC262149:WWC262151 WWC327685:WWC327687 WWC393221:WWC393223 WWC458757:WWC458759 WWC524293:WWC524295 WWC589829:WWC589831 WWC655365:WWC655367 WWC720901:WWC720903 WWC786437:WWC786439 WWC851973:WWC851975 WWC917509:WWC917511 WWC983045:WWC983047 WWD6:WWN7 WWD65541:WWN65542 WWD131077:WWN131078 WWD196613:WWN196614 WWD262149:WWN262150 WWD327685:WWN327686 WWD393221:WWN393222 WWD458757:WWN458758 WWD524293:WWN524294 WWD589829:WWN589830 WWD655365:WWN655366 WWD720901:WWN720902 WWD786437:WWN786438 WWD851973:WWN851974 WWD917509:WWN917510 WWD983045:WWN983046 WWO6:WWO8 WWO65541:WWO65543 WWO131077:WWO131079 WWO196613:WWO196615 WWO262149:WWO262151 WWO327685:WWO327687 WWO393221:WWO393223 WWO458757:WWO458759 WWO524293:WWO524295 WWO589829:WWO589831 WWO655365:WWO655367 WWO720901:WWO720903 WWO786437:WWO786439 WWO851973:WWO851975 WWO917509:WWO917511 WWO983045:WWO983047" showDropDown="0" showInputMessage="1" showErrorMessage="1" allowBlank="1" imeMode="on"/>
  </dataValidations>
  <printOptions horizontalCentered="1" verticalCentered="1"/>
  <pageMargins left="0.2362204724409449" right="0.2362204724409449" top="0.7480314960629921" bottom="0.7480314960629921" header="0.3149606299212598" footer="0.3149606299212598"/>
  <pageSetup orientation="portrait" paperSize="9" horizontalDpi="4294967293"/>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O34"/>
  <sheetViews>
    <sheetView view="pageBreakPreview" zoomScale="56" zoomScaleNormal="87" workbookViewId="0">
      <selection activeCell="A30" sqref="A30:AG30"/>
    </sheetView>
  </sheetViews>
  <sheetFormatPr baseColWidth="10" defaultColWidth="2.6640625" defaultRowHeight="18" customHeight="1"/>
  <cols>
    <col width="2.6640625" customWidth="1" style="932" min="1" max="19"/>
    <col width="3" bestFit="1" customWidth="1" style="932" min="20" max="20"/>
    <col width="2.6640625" customWidth="1" style="932" min="21" max="22"/>
    <col width="4" bestFit="1" customWidth="1" style="932" min="23" max="23"/>
    <col width="2.6640625" customWidth="1" style="932" min="24" max="275"/>
    <col width="3" bestFit="1" customWidth="1" style="932" min="276" max="276"/>
    <col width="2.6640625" customWidth="1" style="932" min="277" max="278"/>
    <col width="4" bestFit="1" customWidth="1" style="932" min="279" max="279"/>
    <col width="2.6640625" customWidth="1" style="932" min="280" max="531"/>
    <col width="3" bestFit="1" customWidth="1" style="932" min="532" max="532"/>
    <col width="2.6640625" customWidth="1" style="932" min="533" max="534"/>
    <col width="4" bestFit="1" customWidth="1" style="932" min="535" max="535"/>
    <col width="2.6640625" customWidth="1" style="932" min="536" max="787"/>
    <col width="3" bestFit="1" customWidth="1" style="932" min="788" max="788"/>
    <col width="2.6640625" customWidth="1" style="932" min="789" max="790"/>
    <col width="4" bestFit="1" customWidth="1" style="932" min="791" max="791"/>
    <col width="2.6640625" customWidth="1" style="932" min="792" max="1043"/>
    <col width="3" bestFit="1" customWidth="1" style="932" min="1044" max="1044"/>
    <col width="2.6640625" customWidth="1" style="932" min="1045" max="1046"/>
    <col width="4" bestFit="1" customWidth="1" style="932" min="1047" max="1047"/>
    <col width="2.6640625" customWidth="1" style="932" min="1048" max="1299"/>
    <col width="3" bestFit="1" customWidth="1" style="932" min="1300" max="1300"/>
    <col width="2.6640625" customWidth="1" style="932" min="1301" max="1302"/>
    <col width="4" bestFit="1" customWidth="1" style="932" min="1303" max="1303"/>
    <col width="2.6640625" customWidth="1" style="932" min="1304" max="1555"/>
    <col width="3" bestFit="1" customWidth="1" style="932" min="1556" max="1556"/>
    <col width="2.6640625" customWidth="1" style="932" min="1557" max="1558"/>
    <col width="4" bestFit="1" customWidth="1" style="932" min="1559" max="1559"/>
    <col width="2.6640625" customWidth="1" style="932" min="1560" max="1811"/>
    <col width="3" bestFit="1" customWidth="1" style="932" min="1812" max="1812"/>
    <col width="2.6640625" customWidth="1" style="932" min="1813" max="1814"/>
    <col width="4" bestFit="1" customWidth="1" style="932" min="1815" max="1815"/>
    <col width="2.6640625" customWidth="1" style="932" min="1816" max="2067"/>
    <col width="3" bestFit="1" customWidth="1" style="932" min="2068" max="2068"/>
    <col width="2.6640625" customWidth="1" style="932" min="2069" max="2070"/>
    <col width="4" bestFit="1" customWidth="1" style="932" min="2071" max="2071"/>
    <col width="2.6640625" customWidth="1" style="932" min="2072" max="2323"/>
    <col width="3" bestFit="1" customWidth="1" style="932" min="2324" max="2324"/>
    <col width="2.6640625" customWidth="1" style="932" min="2325" max="2326"/>
    <col width="4" bestFit="1" customWidth="1" style="932" min="2327" max="2327"/>
    <col width="2.6640625" customWidth="1" style="932" min="2328" max="2579"/>
    <col width="3" bestFit="1" customWidth="1" style="932" min="2580" max="2580"/>
    <col width="2.6640625" customWidth="1" style="932" min="2581" max="2582"/>
    <col width="4" bestFit="1" customWidth="1" style="932" min="2583" max="2583"/>
    <col width="2.6640625" customWidth="1" style="932" min="2584" max="2835"/>
    <col width="3" bestFit="1" customWidth="1" style="932" min="2836" max="2836"/>
    <col width="2.6640625" customWidth="1" style="932" min="2837" max="2838"/>
    <col width="4" bestFit="1" customWidth="1" style="932" min="2839" max="2839"/>
    <col width="2.6640625" customWidth="1" style="932" min="2840" max="3091"/>
    <col width="3" bestFit="1" customWidth="1" style="932" min="3092" max="3092"/>
    <col width="2.6640625" customWidth="1" style="932" min="3093" max="3094"/>
    <col width="4" bestFit="1" customWidth="1" style="932" min="3095" max="3095"/>
    <col width="2.6640625" customWidth="1" style="932" min="3096" max="3347"/>
    <col width="3" bestFit="1" customWidth="1" style="932" min="3348" max="3348"/>
    <col width="2.6640625" customWidth="1" style="932" min="3349" max="3350"/>
    <col width="4" bestFit="1" customWidth="1" style="932" min="3351" max="3351"/>
    <col width="2.6640625" customWidth="1" style="932" min="3352" max="3603"/>
    <col width="3" bestFit="1" customWidth="1" style="932" min="3604" max="3604"/>
    <col width="2.6640625" customWidth="1" style="932" min="3605" max="3606"/>
    <col width="4" bestFit="1" customWidth="1" style="932" min="3607" max="3607"/>
    <col width="2.6640625" customWidth="1" style="932" min="3608" max="3859"/>
    <col width="3" bestFit="1" customWidth="1" style="932" min="3860" max="3860"/>
    <col width="2.6640625" customWidth="1" style="932" min="3861" max="3862"/>
    <col width="4" bestFit="1" customWidth="1" style="932" min="3863" max="3863"/>
    <col width="2.6640625" customWidth="1" style="932" min="3864" max="4115"/>
    <col width="3" bestFit="1" customWidth="1" style="932" min="4116" max="4116"/>
    <col width="2.6640625" customWidth="1" style="932" min="4117" max="4118"/>
    <col width="4" bestFit="1" customWidth="1" style="932" min="4119" max="4119"/>
    <col width="2.6640625" customWidth="1" style="932" min="4120" max="4371"/>
    <col width="3" bestFit="1" customWidth="1" style="932" min="4372" max="4372"/>
    <col width="2.6640625" customWidth="1" style="932" min="4373" max="4374"/>
    <col width="4" bestFit="1" customWidth="1" style="932" min="4375" max="4375"/>
    <col width="2.6640625" customWidth="1" style="932" min="4376" max="4627"/>
    <col width="3" bestFit="1" customWidth="1" style="932" min="4628" max="4628"/>
    <col width="2.6640625" customWidth="1" style="932" min="4629" max="4630"/>
    <col width="4" bestFit="1" customWidth="1" style="932" min="4631" max="4631"/>
    <col width="2.6640625" customWidth="1" style="932" min="4632" max="4883"/>
    <col width="3" bestFit="1" customWidth="1" style="932" min="4884" max="4884"/>
    <col width="2.6640625" customWidth="1" style="932" min="4885" max="4886"/>
    <col width="4" bestFit="1" customWidth="1" style="932" min="4887" max="4887"/>
    <col width="2.6640625" customWidth="1" style="932" min="4888" max="5139"/>
    <col width="3" bestFit="1" customWidth="1" style="932" min="5140" max="5140"/>
    <col width="2.6640625" customWidth="1" style="932" min="5141" max="5142"/>
    <col width="4" bestFit="1" customWidth="1" style="932" min="5143" max="5143"/>
    <col width="2.6640625" customWidth="1" style="932" min="5144" max="5395"/>
    <col width="3" bestFit="1" customWidth="1" style="932" min="5396" max="5396"/>
    <col width="2.6640625" customWidth="1" style="932" min="5397" max="5398"/>
    <col width="4" bestFit="1" customWidth="1" style="932" min="5399" max="5399"/>
    <col width="2.6640625" customWidth="1" style="932" min="5400" max="5651"/>
    <col width="3" bestFit="1" customWidth="1" style="932" min="5652" max="5652"/>
    <col width="2.6640625" customWidth="1" style="932" min="5653" max="5654"/>
    <col width="4" bestFit="1" customWidth="1" style="932" min="5655" max="5655"/>
    <col width="2.6640625" customWidth="1" style="932" min="5656" max="5907"/>
    <col width="3" bestFit="1" customWidth="1" style="932" min="5908" max="5908"/>
    <col width="2.6640625" customWidth="1" style="932" min="5909" max="5910"/>
    <col width="4" bestFit="1" customWidth="1" style="932" min="5911" max="5911"/>
    <col width="2.6640625" customWidth="1" style="932" min="5912" max="6163"/>
    <col width="3" bestFit="1" customWidth="1" style="932" min="6164" max="6164"/>
    <col width="2.6640625" customWidth="1" style="932" min="6165" max="6166"/>
    <col width="4" bestFit="1" customWidth="1" style="932" min="6167" max="6167"/>
    <col width="2.6640625" customWidth="1" style="932" min="6168" max="6419"/>
    <col width="3" bestFit="1" customWidth="1" style="932" min="6420" max="6420"/>
    <col width="2.6640625" customWidth="1" style="932" min="6421" max="6422"/>
    <col width="4" bestFit="1" customWidth="1" style="932" min="6423" max="6423"/>
    <col width="2.6640625" customWidth="1" style="932" min="6424" max="6675"/>
    <col width="3" bestFit="1" customWidth="1" style="932" min="6676" max="6676"/>
    <col width="2.6640625" customWidth="1" style="932" min="6677" max="6678"/>
    <col width="4" bestFit="1" customWidth="1" style="932" min="6679" max="6679"/>
    <col width="2.6640625" customWidth="1" style="932" min="6680" max="6931"/>
    <col width="3" bestFit="1" customWidth="1" style="932" min="6932" max="6932"/>
    <col width="2.6640625" customWidth="1" style="932" min="6933" max="6934"/>
    <col width="4" bestFit="1" customWidth="1" style="932" min="6935" max="6935"/>
    <col width="2.6640625" customWidth="1" style="932" min="6936" max="7187"/>
    <col width="3" bestFit="1" customWidth="1" style="932" min="7188" max="7188"/>
    <col width="2.6640625" customWidth="1" style="932" min="7189" max="7190"/>
    <col width="4" bestFit="1" customWidth="1" style="932" min="7191" max="7191"/>
    <col width="2.6640625" customWidth="1" style="932" min="7192" max="7443"/>
    <col width="3" bestFit="1" customWidth="1" style="932" min="7444" max="7444"/>
    <col width="2.6640625" customWidth="1" style="932" min="7445" max="7446"/>
    <col width="4" bestFit="1" customWidth="1" style="932" min="7447" max="7447"/>
    <col width="2.6640625" customWidth="1" style="932" min="7448" max="7699"/>
    <col width="3" bestFit="1" customWidth="1" style="932" min="7700" max="7700"/>
    <col width="2.6640625" customWidth="1" style="932" min="7701" max="7702"/>
    <col width="4" bestFit="1" customWidth="1" style="932" min="7703" max="7703"/>
    <col width="2.6640625" customWidth="1" style="932" min="7704" max="7955"/>
    <col width="3" bestFit="1" customWidth="1" style="932" min="7956" max="7956"/>
    <col width="2.6640625" customWidth="1" style="932" min="7957" max="7958"/>
    <col width="4" bestFit="1" customWidth="1" style="932" min="7959" max="7959"/>
    <col width="2.6640625" customWidth="1" style="932" min="7960" max="8211"/>
    <col width="3" bestFit="1" customWidth="1" style="932" min="8212" max="8212"/>
    <col width="2.6640625" customWidth="1" style="932" min="8213" max="8214"/>
    <col width="4" bestFit="1" customWidth="1" style="932" min="8215" max="8215"/>
    <col width="2.6640625" customWidth="1" style="932" min="8216" max="8467"/>
    <col width="3" bestFit="1" customWidth="1" style="932" min="8468" max="8468"/>
    <col width="2.6640625" customWidth="1" style="932" min="8469" max="8470"/>
    <col width="4" bestFit="1" customWidth="1" style="932" min="8471" max="8471"/>
    <col width="2.6640625" customWidth="1" style="932" min="8472" max="8723"/>
    <col width="3" bestFit="1" customWidth="1" style="932" min="8724" max="8724"/>
    <col width="2.6640625" customWidth="1" style="932" min="8725" max="8726"/>
    <col width="4" bestFit="1" customWidth="1" style="932" min="8727" max="8727"/>
    <col width="2.6640625" customWidth="1" style="932" min="8728" max="8979"/>
    <col width="3" bestFit="1" customWidth="1" style="932" min="8980" max="8980"/>
    <col width="2.6640625" customWidth="1" style="932" min="8981" max="8982"/>
    <col width="4" bestFit="1" customWidth="1" style="932" min="8983" max="8983"/>
    <col width="2.6640625" customWidth="1" style="932" min="8984" max="9235"/>
    <col width="3" bestFit="1" customWidth="1" style="932" min="9236" max="9236"/>
    <col width="2.6640625" customWidth="1" style="932" min="9237" max="9238"/>
    <col width="4" bestFit="1" customWidth="1" style="932" min="9239" max="9239"/>
    <col width="2.6640625" customWidth="1" style="932" min="9240" max="9491"/>
    <col width="3" bestFit="1" customWidth="1" style="932" min="9492" max="9492"/>
    <col width="2.6640625" customWidth="1" style="932" min="9493" max="9494"/>
    <col width="4" bestFit="1" customWidth="1" style="932" min="9495" max="9495"/>
    <col width="2.6640625" customWidth="1" style="932" min="9496" max="9747"/>
    <col width="3" bestFit="1" customWidth="1" style="932" min="9748" max="9748"/>
    <col width="2.6640625" customWidth="1" style="932" min="9749" max="9750"/>
    <col width="4" bestFit="1" customWidth="1" style="932" min="9751" max="9751"/>
    <col width="2.6640625" customWidth="1" style="932" min="9752" max="10003"/>
    <col width="3" bestFit="1" customWidth="1" style="932" min="10004" max="10004"/>
    <col width="2.6640625" customWidth="1" style="932" min="10005" max="10006"/>
    <col width="4" bestFit="1" customWidth="1" style="932" min="10007" max="10007"/>
    <col width="2.6640625" customWidth="1" style="932" min="10008" max="10259"/>
    <col width="3" bestFit="1" customWidth="1" style="932" min="10260" max="10260"/>
    <col width="2.6640625" customWidth="1" style="932" min="10261" max="10262"/>
    <col width="4" bestFit="1" customWidth="1" style="932" min="10263" max="10263"/>
    <col width="2.6640625" customWidth="1" style="932" min="10264" max="10515"/>
    <col width="3" bestFit="1" customWidth="1" style="932" min="10516" max="10516"/>
    <col width="2.6640625" customWidth="1" style="932" min="10517" max="10518"/>
    <col width="4" bestFit="1" customWidth="1" style="932" min="10519" max="10519"/>
    <col width="2.6640625" customWidth="1" style="932" min="10520" max="10771"/>
    <col width="3" bestFit="1" customWidth="1" style="932" min="10772" max="10772"/>
    <col width="2.6640625" customWidth="1" style="932" min="10773" max="10774"/>
    <col width="4" bestFit="1" customWidth="1" style="932" min="10775" max="10775"/>
    <col width="2.6640625" customWidth="1" style="932" min="10776" max="11027"/>
    <col width="3" bestFit="1" customWidth="1" style="932" min="11028" max="11028"/>
    <col width="2.6640625" customWidth="1" style="932" min="11029" max="11030"/>
    <col width="4" bestFit="1" customWidth="1" style="932" min="11031" max="11031"/>
    <col width="2.6640625" customWidth="1" style="932" min="11032" max="11283"/>
    <col width="3" bestFit="1" customWidth="1" style="932" min="11284" max="11284"/>
    <col width="2.6640625" customWidth="1" style="932" min="11285" max="11286"/>
    <col width="4" bestFit="1" customWidth="1" style="932" min="11287" max="11287"/>
    <col width="2.6640625" customWidth="1" style="932" min="11288" max="11539"/>
    <col width="3" bestFit="1" customWidth="1" style="932" min="11540" max="11540"/>
    <col width="2.6640625" customWidth="1" style="932" min="11541" max="11542"/>
    <col width="4" bestFit="1" customWidth="1" style="932" min="11543" max="11543"/>
    <col width="2.6640625" customWidth="1" style="932" min="11544" max="11795"/>
    <col width="3" bestFit="1" customWidth="1" style="932" min="11796" max="11796"/>
    <col width="2.6640625" customWidth="1" style="932" min="11797" max="11798"/>
    <col width="4" bestFit="1" customWidth="1" style="932" min="11799" max="11799"/>
    <col width="2.6640625" customWidth="1" style="932" min="11800" max="12051"/>
    <col width="3" bestFit="1" customWidth="1" style="932" min="12052" max="12052"/>
    <col width="2.6640625" customWidth="1" style="932" min="12053" max="12054"/>
    <col width="4" bestFit="1" customWidth="1" style="932" min="12055" max="12055"/>
    <col width="2.6640625" customWidth="1" style="932" min="12056" max="12307"/>
    <col width="3" bestFit="1" customWidth="1" style="932" min="12308" max="12308"/>
    <col width="2.6640625" customWidth="1" style="932" min="12309" max="12310"/>
    <col width="4" bestFit="1" customWidth="1" style="932" min="12311" max="12311"/>
    <col width="2.6640625" customWidth="1" style="932" min="12312" max="12563"/>
    <col width="3" bestFit="1" customWidth="1" style="932" min="12564" max="12564"/>
    <col width="2.6640625" customWidth="1" style="932" min="12565" max="12566"/>
    <col width="4" bestFit="1" customWidth="1" style="932" min="12567" max="12567"/>
    <col width="2.6640625" customWidth="1" style="932" min="12568" max="12819"/>
    <col width="3" bestFit="1" customWidth="1" style="932" min="12820" max="12820"/>
    <col width="2.6640625" customWidth="1" style="932" min="12821" max="12822"/>
    <col width="4" bestFit="1" customWidth="1" style="932" min="12823" max="12823"/>
    <col width="2.6640625" customWidth="1" style="932" min="12824" max="13075"/>
    <col width="3" bestFit="1" customWidth="1" style="932" min="13076" max="13076"/>
    <col width="2.6640625" customWidth="1" style="932" min="13077" max="13078"/>
    <col width="4" bestFit="1" customWidth="1" style="932" min="13079" max="13079"/>
    <col width="2.6640625" customWidth="1" style="932" min="13080" max="13331"/>
    <col width="3" bestFit="1" customWidth="1" style="932" min="13332" max="13332"/>
    <col width="2.6640625" customWidth="1" style="932" min="13333" max="13334"/>
    <col width="4" bestFit="1" customWidth="1" style="932" min="13335" max="13335"/>
    <col width="2.6640625" customWidth="1" style="932" min="13336" max="13587"/>
    <col width="3" bestFit="1" customWidth="1" style="932" min="13588" max="13588"/>
    <col width="2.6640625" customWidth="1" style="932" min="13589" max="13590"/>
    <col width="4" bestFit="1" customWidth="1" style="932" min="13591" max="13591"/>
    <col width="2.6640625" customWidth="1" style="932" min="13592" max="13843"/>
    <col width="3" bestFit="1" customWidth="1" style="932" min="13844" max="13844"/>
    <col width="2.6640625" customWidth="1" style="932" min="13845" max="13846"/>
    <col width="4" bestFit="1" customWidth="1" style="932" min="13847" max="13847"/>
    <col width="2.6640625" customWidth="1" style="932" min="13848" max="14099"/>
    <col width="3" bestFit="1" customWidth="1" style="932" min="14100" max="14100"/>
    <col width="2.6640625" customWidth="1" style="932" min="14101" max="14102"/>
    <col width="4" bestFit="1" customWidth="1" style="932" min="14103" max="14103"/>
    <col width="2.6640625" customWidth="1" style="932" min="14104" max="14355"/>
    <col width="3" bestFit="1" customWidth="1" style="932" min="14356" max="14356"/>
    <col width="2.6640625" customWidth="1" style="932" min="14357" max="14358"/>
    <col width="4" bestFit="1" customWidth="1" style="932" min="14359" max="14359"/>
    <col width="2.6640625" customWidth="1" style="932" min="14360" max="14611"/>
    <col width="3" bestFit="1" customWidth="1" style="932" min="14612" max="14612"/>
    <col width="2.6640625" customWidth="1" style="932" min="14613" max="14614"/>
    <col width="4" bestFit="1" customWidth="1" style="932" min="14615" max="14615"/>
    <col width="2.6640625" customWidth="1" style="932" min="14616" max="14867"/>
    <col width="3" bestFit="1" customWidth="1" style="932" min="14868" max="14868"/>
    <col width="2.6640625" customWidth="1" style="932" min="14869" max="14870"/>
    <col width="4" bestFit="1" customWidth="1" style="932" min="14871" max="14871"/>
    <col width="2.6640625" customWidth="1" style="932" min="14872" max="15123"/>
    <col width="3" bestFit="1" customWidth="1" style="932" min="15124" max="15124"/>
    <col width="2.6640625" customWidth="1" style="932" min="15125" max="15126"/>
    <col width="4" bestFit="1" customWidth="1" style="932" min="15127" max="15127"/>
    <col width="2.6640625" customWidth="1" style="932" min="15128" max="15379"/>
    <col width="3" bestFit="1" customWidth="1" style="932" min="15380" max="15380"/>
    <col width="2.6640625" customWidth="1" style="932" min="15381" max="15382"/>
    <col width="4" bestFit="1" customWidth="1" style="932" min="15383" max="15383"/>
    <col width="2.6640625" customWidth="1" style="932" min="15384" max="15635"/>
    <col width="3" bestFit="1" customWidth="1" style="932" min="15636" max="15636"/>
    <col width="2.6640625" customWidth="1" style="932" min="15637" max="15638"/>
    <col width="4" bestFit="1" customWidth="1" style="932" min="15639" max="15639"/>
    <col width="2.6640625" customWidth="1" style="932" min="15640" max="15891"/>
    <col width="3" bestFit="1" customWidth="1" style="932" min="15892" max="15892"/>
    <col width="2.6640625" customWidth="1" style="932" min="15893" max="15894"/>
    <col width="4" bestFit="1" customWidth="1" style="932" min="15895" max="15895"/>
    <col width="2.6640625" customWidth="1" style="932" min="15896" max="16147"/>
    <col width="3" bestFit="1" customWidth="1" style="932" min="16148" max="16148"/>
    <col width="2.6640625" customWidth="1" style="932" min="16149" max="16150"/>
    <col width="4" bestFit="1" customWidth="1" style="932" min="16151" max="16151"/>
    <col width="2.6640625" customWidth="1" style="932" min="16152" max="16384"/>
  </cols>
  <sheetData>
    <row r="1" ht="45" customHeight="1">
      <c r="A1" s="929" t="inlineStr">
        <is>
          <t>買付証明書</t>
        </is>
      </c>
    </row>
    <row r="2" ht="18" customHeight="1">
      <c r="A2" s="929" t="n"/>
      <c r="B2" s="929" t="n"/>
      <c r="C2" s="929" t="n"/>
      <c r="D2" s="929" t="n"/>
      <c r="E2" s="929" t="n"/>
      <c r="F2" s="929" t="n"/>
      <c r="G2" s="929" t="n"/>
      <c r="H2" s="929" t="n"/>
      <c r="I2" s="929" t="n"/>
      <c r="J2" s="929" t="n"/>
      <c r="K2" s="929" t="n"/>
      <c r="L2" s="929" t="n"/>
      <c r="M2" s="929" t="n"/>
      <c r="N2" s="929" t="n"/>
      <c r="O2" s="929" t="n"/>
      <c r="P2" s="929" t="n"/>
      <c r="Q2" s="929" t="n"/>
      <c r="R2" s="929" t="n"/>
      <c r="S2" s="929" t="n"/>
      <c r="T2" s="929" t="n"/>
      <c r="U2" s="929" t="n"/>
      <c r="V2" s="929" t="n"/>
      <c r="W2" s="929" t="n"/>
      <c r="X2" s="929" t="n"/>
      <c r="Y2" s="929" t="n"/>
      <c r="Z2" s="929" t="n"/>
      <c r="AA2" s="929" t="n"/>
      <c r="AB2" s="929" t="n"/>
      <c r="AC2" s="929" t="n"/>
      <c r="AD2" s="929" t="n"/>
      <c r="AE2" s="929" t="n"/>
      <c r="AF2" s="929" t="n"/>
      <c r="AG2" s="929" t="n"/>
    </row>
    <row r="3" ht="18" customHeight="1">
      <c r="X3" s="1160">
        <f>TODAY()+1</f>
        <v/>
      </c>
    </row>
    <row r="5" ht="18" customHeight="1">
      <c r="A5" s="931" t="inlineStr">
        <is>
          <t>売主</t>
        </is>
      </c>
      <c r="M5" s="933" t="inlineStr">
        <is>
          <t>様</t>
        </is>
      </c>
    </row>
    <row r="6" ht="18" customHeight="1">
      <c r="A6" s="1055" t="n"/>
      <c r="B6" s="1055" t="n"/>
      <c r="C6" s="1055" t="n"/>
      <c r="D6" s="1055" t="n"/>
      <c r="E6" s="1055" t="n"/>
      <c r="F6" s="1055" t="n"/>
      <c r="G6" s="1055" t="n"/>
      <c r="H6" s="1055" t="n"/>
      <c r="I6" s="1055" t="n"/>
      <c r="J6" s="1055" t="n"/>
      <c r="K6" s="1055" t="n"/>
      <c r="L6" s="1055" t="n"/>
      <c r="M6" s="1055" t="n"/>
      <c r="N6" s="1055" t="n"/>
      <c r="T6" s="915" t="inlineStr">
        <is>
          <t>住所
東京都世田谷区経堂2-27-10</t>
        </is>
      </c>
    </row>
    <row r="7" ht="18" customHeight="1">
      <c r="A7" s="317" t="n"/>
      <c r="B7" s="317" t="n"/>
      <c r="C7" s="317" t="n"/>
      <c r="D7" s="317" t="n"/>
      <c r="E7" s="317" t="n"/>
      <c r="F7" s="317" t="n"/>
      <c r="G7" s="317" t="n"/>
      <c r="H7" s="317" t="n"/>
      <c r="I7" s="317" t="n"/>
      <c r="J7" s="317" t="n"/>
      <c r="K7" s="317" t="n"/>
      <c r="L7" s="317" t="n"/>
      <c r="T7" s="1055" t="n"/>
      <c r="U7" s="1055" t="n"/>
      <c r="V7" s="1055" t="n"/>
      <c r="W7" s="1055" t="n"/>
      <c r="X7" s="1055" t="n"/>
      <c r="Y7" s="1055" t="n"/>
      <c r="Z7" s="1055" t="n"/>
      <c r="AA7" s="1055" t="n"/>
      <c r="AB7" s="1055" t="n"/>
      <c r="AC7" s="1055" t="n"/>
      <c r="AD7" s="1055" t="n"/>
      <c r="AE7" s="1055" t="n"/>
      <c r="AF7" s="1055" t="n"/>
      <c r="AG7" s="1055" t="n"/>
    </row>
    <row r="8" ht="18" customHeight="1">
      <c r="T8" s="1161" t="inlineStr">
        <is>
          <t>氏名　合同会社オプタプランニング
代表社員　中本　雄土</t>
        </is>
      </c>
      <c r="U8" s="1045" t="n"/>
      <c r="V8" s="1045" t="n"/>
      <c r="W8" s="1045" t="n"/>
      <c r="X8" s="1045" t="n"/>
      <c r="Y8" s="1045" t="n"/>
      <c r="Z8" s="1045" t="n"/>
      <c r="AA8" s="1045" t="n"/>
      <c r="AB8" s="1045" t="n"/>
      <c r="AC8" s="1045" t="n"/>
      <c r="AD8" s="1045" t="n"/>
      <c r="AE8" s="1045" t="n"/>
      <c r="AF8" s="1045" t="n"/>
      <c r="AG8" s="1162" t="inlineStr">
        <is>
          <t>印</t>
        </is>
      </c>
      <c r="AH8" s="935" t="n"/>
    </row>
    <row r="9" ht="18" customHeight="1">
      <c r="T9" s="1055" t="n"/>
      <c r="U9" s="1055" t="n"/>
      <c r="V9" s="1055" t="n"/>
      <c r="W9" s="1055" t="n"/>
      <c r="X9" s="1055" t="n"/>
      <c r="Y9" s="1055" t="n"/>
      <c r="Z9" s="1055" t="n"/>
      <c r="AA9" s="1055" t="n"/>
      <c r="AB9" s="1055" t="n"/>
      <c r="AC9" s="1055" t="n"/>
      <c r="AD9" s="1055" t="n"/>
      <c r="AE9" s="1055" t="n"/>
      <c r="AF9" s="1055" t="n"/>
      <c r="AG9" s="1055" t="n"/>
    </row>
    <row r="12" ht="18" customHeight="1">
      <c r="B12" s="932" t="inlineStr">
        <is>
          <t>私は、下記不動産を、下記の条件にて購入したく、買い付けることを証明いたします。</t>
        </is>
      </c>
      <c r="Z12" s="318" t="n"/>
      <c r="AA12" s="318" t="n"/>
      <c r="AB12" s="318" t="n"/>
      <c r="AC12" s="318" t="n"/>
      <c r="AD12" s="318" t="n"/>
      <c r="AL12" s="318" t="n"/>
      <c r="AM12" s="318" t="n"/>
      <c r="AN12" s="318" t="n"/>
      <c r="AO12" s="318" t="n"/>
    </row>
    <row r="13" ht="18" customHeight="1">
      <c r="Z13" s="318" t="n"/>
      <c r="AA13" s="318" t="n"/>
      <c r="AB13" s="318" t="n"/>
      <c r="AC13" s="318" t="n"/>
      <c r="AD13" s="318" t="n"/>
      <c r="AL13" s="318" t="n"/>
      <c r="AM13" s="318" t="n"/>
      <c r="AN13" s="318" t="n"/>
      <c r="AO13" s="318" t="n"/>
    </row>
    <row r="14" ht="18" customHeight="1">
      <c r="Q14" s="932" t="inlineStr">
        <is>
          <t>記</t>
        </is>
      </c>
      <c r="Z14" s="318" t="n"/>
      <c r="AA14" s="318" t="n"/>
      <c r="AB14" s="318" t="n"/>
      <c r="AC14" s="318" t="n"/>
      <c r="AD14" s="318" t="n"/>
      <c r="AL14" s="318" t="n"/>
      <c r="AM14" s="318" t="n"/>
      <c r="AN14" s="318" t="n"/>
      <c r="AO14" s="318" t="n"/>
    </row>
    <row r="15" ht="18" customHeight="1">
      <c r="Z15" s="318" t="n"/>
      <c r="AA15" s="318" t="n"/>
      <c r="AB15" s="318" t="n"/>
      <c r="AC15" s="318" t="n"/>
      <c r="AD15" s="318" t="n"/>
      <c r="AL15" s="318" t="n"/>
      <c r="AM15" s="318" t="n"/>
      <c r="AN15" s="318" t="n"/>
      <c r="AO15" s="318" t="n"/>
    </row>
    <row r="16" ht="25.25" customHeight="1">
      <c r="A16" s="932" t="inlineStr">
        <is>
          <t>１．物件</t>
        </is>
      </c>
      <c r="G16" s="918" t="inlineStr">
        <is>
          <t>物件名</t>
        </is>
      </c>
      <c r="H16" s="1055" t="n"/>
      <c r="I16" s="1055" t="n"/>
      <c r="J16" s="933" t="n"/>
      <c r="K16" s="919">
        <f>①物件情報入力シート!C3</f>
        <v/>
      </c>
      <c r="L16" s="1055" t="n"/>
      <c r="M16" s="1055" t="n"/>
      <c r="N16" s="1055" t="n"/>
      <c r="O16" s="1055" t="n"/>
      <c r="P16" s="1055" t="n"/>
      <c r="Q16" s="1055" t="n"/>
      <c r="R16" s="1055" t="n"/>
      <c r="S16" s="1055" t="n"/>
      <c r="T16" s="1055" t="n"/>
      <c r="U16" s="1055" t="n"/>
      <c r="V16" s="1055" t="n"/>
      <c r="W16" s="1055" t="n"/>
      <c r="X16" s="1055" t="n"/>
      <c r="Y16" s="1055" t="n"/>
      <c r="Z16" s="1055" t="n"/>
      <c r="AA16" s="1055" t="n"/>
      <c r="AB16" s="1055" t="n"/>
      <c r="AC16" s="1055" t="n"/>
      <c r="AD16" s="1055" t="n"/>
      <c r="AE16" s="1055" t="n"/>
      <c r="AF16" s="1055" t="n"/>
      <c r="AG16" s="1055" t="n"/>
    </row>
    <row r="17" ht="25.25" customHeight="1">
      <c r="G17" s="920" t="inlineStr">
        <is>
          <t>所　在</t>
        </is>
      </c>
      <c r="H17" s="936" t="n"/>
      <c r="I17" s="936" t="n"/>
      <c r="J17" s="319" t="n"/>
      <c r="K17" s="921">
        <f>①物件情報入力シート!C4</f>
        <v/>
      </c>
      <c r="L17" s="936" t="n"/>
      <c r="M17" s="936" t="n"/>
      <c r="N17" s="936" t="n"/>
      <c r="O17" s="936" t="n"/>
      <c r="P17" s="936" t="n"/>
      <c r="Q17" s="936" t="n"/>
      <c r="R17" s="936" t="n"/>
      <c r="S17" s="936" t="n"/>
      <c r="T17" s="936" t="n"/>
      <c r="U17" s="936" t="n"/>
      <c r="V17" s="936" t="n"/>
      <c r="W17" s="936" t="n"/>
      <c r="X17" s="936" t="n"/>
      <c r="Y17" s="936" t="n"/>
      <c r="Z17" s="936" t="n"/>
      <c r="AA17" s="936" t="n"/>
      <c r="AB17" s="936" t="n"/>
      <c r="AC17" s="936" t="n"/>
      <c r="AD17" s="936" t="n"/>
      <c r="AE17" s="936" t="n"/>
      <c r="AF17" s="936" t="n"/>
      <c r="AG17" s="936" t="n"/>
    </row>
    <row r="18" ht="25.25" customHeight="1">
      <c r="G18" s="920" t="inlineStr">
        <is>
          <t>土　地</t>
        </is>
      </c>
      <c r="H18" s="936" t="n"/>
      <c r="I18" s="936" t="n"/>
      <c r="J18" s="319" t="n"/>
      <c r="K18" s="920">
        <f>①物件情報入力シート!C5</f>
        <v/>
      </c>
      <c r="L18" s="936" t="n"/>
      <c r="M18" s="936" t="n"/>
      <c r="N18" s="936" t="n"/>
      <c r="O18" s="936" t="n"/>
      <c r="P18" s="319" t="inlineStr">
        <is>
          <t>㎡</t>
        </is>
      </c>
      <c r="Q18" s="319" t="inlineStr">
        <is>
          <t>（</t>
        </is>
      </c>
      <c r="R18" s="1163">
        <f>K18/3.30578</f>
        <v/>
      </c>
      <c r="S18" s="936" t="n"/>
      <c r="T18" s="936" t="n"/>
      <c r="U18" s="936" t="n"/>
      <c r="V18" s="319" t="inlineStr">
        <is>
          <t>坪</t>
        </is>
      </c>
      <c r="W18" s="319" t="inlineStr">
        <is>
          <t>）</t>
        </is>
      </c>
      <c r="X18" s="319" t="n"/>
      <c r="Y18" s="319" t="n"/>
      <c r="Z18" s="319" t="n"/>
      <c r="AA18" s="320" t="n"/>
      <c r="AB18" s="320" t="n"/>
      <c r="AC18" s="320" t="n"/>
      <c r="AD18" s="320" t="n"/>
      <c r="AE18" s="320" t="n"/>
      <c r="AF18" s="319" t="n"/>
      <c r="AG18" s="319" t="n"/>
    </row>
    <row r="19" ht="25.25" customHeight="1">
      <c r="G19" s="918" t="inlineStr">
        <is>
          <t>建　物</t>
        </is>
      </c>
      <c r="H19" s="1055" t="n"/>
      <c r="I19" s="1055" t="n"/>
      <c r="J19" s="933" t="n"/>
      <c r="K19" s="920">
        <f>①物件情報入力シート!C17+①物件情報入力シート!C18+①物件情報入力シート!C19</f>
        <v/>
      </c>
      <c r="L19" s="936" t="n"/>
      <c r="M19" s="936" t="n"/>
      <c r="N19" s="936" t="n"/>
      <c r="O19" s="936" t="n"/>
      <c r="P19" s="319" t="inlineStr">
        <is>
          <t>㎡</t>
        </is>
      </c>
      <c r="Q19" s="319" t="inlineStr">
        <is>
          <t>（</t>
        </is>
      </c>
      <c r="R19" s="1163">
        <f>K19/3.30578</f>
        <v/>
      </c>
      <c r="S19" s="936" t="n"/>
      <c r="T19" s="936" t="n"/>
      <c r="U19" s="936" t="n"/>
      <c r="V19" s="319" t="inlineStr">
        <is>
          <t>坪</t>
        </is>
      </c>
      <c r="W19" s="319" t="inlineStr">
        <is>
          <t>）</t>
        </is>
      </c>
      <c r="X19" s="933" t="n"/>
      <c r="Y19" s="933" t="n"/>
      <c r="Z19" s="933" t="n"/>
      <c r="AA19" s="321" t="n"/>
      <c r="AB19" s="321" t="n"/>
      <c r="AC19" s="321" t="n"/>
      <c r="AD19" s="321" t="n"/>
      <c r="AE19" s="321" t="n"/>
      <c r="AF19" s="933" t="n"/>
      <c r="AG19" s="933" t="n"/>
    </row>
    <row r="20" ht="25.25" customHeight="1"/>
    <row r="21" ht="25.25" customHeight="1">
      <c r="A21" s="932" t="inlineStr">
        <is>
          <t>２．条件</t>
        </is>
      </c>
      <c r="G21" s="932" t="inlineStr">
        <is>
          <t>購入価格</t>
        </is>
      </c>
      <c r="L21" s="932" t="inlineStr">
        <is>
          <t>金</t>
        </is>
      </c>
      <c r="N21" s="1164" t="n">
        <v>500000</v>
      </c>
      <c r="T21" s="932" t="inlineStr">
        <is>
          <t>円也</t>
        </is>
      </c>
    </row>
    <row r="22" ht="25.25" customHeight="1">
      <c r="G22" s="932" t="inlineStr">
        <is>
          <t>手付金</t>
        </is>
      </c>
      <c r="L22" s="932" t="inlineStr">
        <is>
          <t>金</t>
        </is>
      </c>
      <c r="N22" s="925" t="n">
        <v>100000</v>
      </c>
      <c r="T22" s="932" t="inlineStr">
        <is>
          <t>円也</t>
        </is>
      </c>
      <c r="W22" s="932" t="inlineStr">
        <is>
          <t>※購入価格に充当</t>
        </is>
      </c>
    </row>
    <row r="23" ht="25.25" customHeight="1">
      <c r="AL23" s="322" t="n"/>
      <c r="AM23" s="322" t="n"/>
      <c r="AN23" s="322" t="n"/>
      <c r="AO23" s="322" t="n"/>
    </row>
    <row r="24" ht="25.25" customHeight="1">
      <c r="A24" s="932" t="inlineStr">
        <is>
          <t>３．支払方法</t>
        </is>
      </c>
      <c r="G24" s="932" t="inlineStr">
        <is>
          <t>・現金</t>
        </is>
      </c>
      <c r="L24" s="932" t="inlineStr">
        <is>
          <t>・銀行融資</t>
        </is>
      </c>
      <c r="AL24" s="322" t="n"/>
      <c r="AM24" s="322" t="n"/>
      <c r="AN24" s="322" t="n"/>
      <c r="AO24" s="322" t="n"/>
    </row>
    <row r="25" ht="25.25" customHeight="1">
      <c r="AL25" s="322" t="n"/>
      <c r="AM25" s="322" t="n"/>
      <c r="AN25" s="322" t="n"/>
      <c r="AO25" s="322" t="n"/>
    </row>
    <row r="26" ht="25.25" customHeight="1">
      <c r="A26" s="932" t="inlineStr">
        <is>
          <t>４．有効期間</t>
        </is>
      </c>
      <c r="G26" s="932" t="inlineStr">
        <is>
          <t>本書面の有効期間は</t>
        </is>
      </c>
      <c r="N26" s="1160">
        <f>TODAY()+35</f>
        <v/>
      </c>
      <c r="U26" s="1165" t="inlineStr">
        <is>
          <t>までとします</t>
        </is>
      </c>
      <c r="V26" s="1166" t="n"/>
      <c r="W26" s="1166" t="n"/>
      <c r="AL26" s="322" t="n"/>
      <c r="AM26" s="322" t="n"/>
      <c r="AN26" s="322" t="n"/>
      <c r="AO26" s="322" t="n"/>
    </row>
    <row r="27" ht="25.25" customHeight="1">
      <c r="AL27" s="322" t="n"/>
      <c r="AM27" s="322" t="n"/>
      <c r="AN27" s="322" t="n"/>
      <c r="AO27" s="322" t="n"/>
    </row>
    <row r="28" ht="25.25" customHeight="1">
      <c r="A28" s="932" t="inlineStr">
        <is>
          <t>５．その他条件</t>
        </is>
      </c>
    </row>
    <row r="29" ht="25.25" customHeight="1">
      <c r="A29" s="927" t="inlineStr">
        <is>
          <t>・残置物は売主様にて撤去をお願いいたします。</t>
        </is>
      </c>
      <c r="B29" s="1157" t="n"/>
      <c r="C29" s="1157" t="n"/>
      <c r="D29" s="1157" t="n"/>
      <c r="E29" s="1157" t="n"/>
      <c r="F29" s="1157" t="n"/>
      <c r="G29" s="1157" t="n"/>
      <c r="H29" s="1157" t="n"/>
      <c r="I29" s="1157" t="n"/>
      <c r="J29" s="1157" t="n"/>
      <c r="K29" s="1157" t="n"/>
      <c r="L29" s="1157" t="n"/>
      <c r="M29" s="1157" t="n"/>
      <c r="N29" s="1157" t="n"/>
      <c r="O29" s="1157" t="n"/>
      <c r="P29" s="1157" t="n"/>
      <c r="Q29" s="1157" t="n"/>
      <c r="R29" s="1157" t="n"/>
      <c r="S29" s="1157" t="n"/>
      <c r="T29" s="1157" t="n"/>
      <c r="U29" s="1157" t="n"/>
      <c r="V29" s="1157" t="n"/>
      <c r="W29" s="1157" t="n"/>
      <c r="X29" s="1157" t="n"/>
      <c r="Y29" s="1157" t="n"/>
      <c r="Z29" s="1157" t="n"/>
      <c r="AA29" s="1157" t="n"/>
      <c r="AB29" s="1157" t="n"/>
      <c r="AC29" s="1157" t="n"/>
      <c r="AD29" s="1157" t="n"/>
      <c r="AE29" s="1157" t="n"/>
      <c r="AF29" s="1157" t="n"/>
      <c r="AG29" s="1157" t="n"/>
    </row>
    <row r="30" ht="25.25" customHeight="1">
      <c r="A30" s="928" t="n"/>
      <c r="B30" s="1158" t="n"/>
      <c r="C30" s="1158" t="n"/>
      <c r="D30" s="1158" t="n"/>
      <c r="E30" s="1158" t="n"/>
      <c r="F30" s="1158" t="n"/>
      <c r="G30" s="1158" t="n"/>
      <c r="H30" s="1158" t="n"/>
      <c r="I30" s="1158" t="n"/>
      <c r="J30" s="1158" t="n"/>
      <c r="K30" s="1158" t="n"/>
      <c r="L30" s="1158" t="n"/>
      <c r="M30" s="1158" t="n"/>
      <c r="N30" s="1158" t="n"/>
      <c r="O30" s="1158" t="n"/>
      <c r="P30" s="1158" t="n"/>
      <c r="Q30" s="1158" t="n"/>
      <c r="R30" s="1158" t="n"/>
      <c r="S30" s="1158" t="n"/>
      <c r="T30" s="1158" t="n"/>
      <c r="U30" s="1158" t="n"/>
      <c r="V30" s="1158" t="n"/>
      <c r="W30" s="1158" t="n"/>
      <c r="X30" s="1158" t="n"/>
      <c r="Y30" s="1158" t="n"/>
      <c r="Z30" s="1158" t="n"/>
      <c r="AA30" s="1158" t="n"/>
      <c r="AB30" s="1158" t="n"/>
      <c r="AC30" s="1158" t="n"/>
      <c r="AD30" s="1158" t="n"/>
      <c r="AE30" s="1158" t="n"/>
      <c r="AF30" s="1158" t="n"/>
      <c r="AG30" s="1158" t="n"/>
    </row>
    <row r="31" ht="25.25" customHeight="1">
      <c r="A31" s="928" t="n"/>
      <c r="B31" s="1158" t="n"/>
      <c r="C31" s="1158" t="n"/>
      <c r="D31" s="1158" t="n"/>
      <c r="E31" s="1158" t="n"/>
      <c r="F31" s="1158" t="n"/>
      <c r="G31" s="1158" t="n"/>
      <c r="H31" s="1158" t="n"/>
      <c r="I31" s="1158" t="n"/>
      <c r="J31" s="1158" t="n"/>
      <c r="K31" s="1158" t="n"/>
      <c r="L31" s="1158" t="n"/>
      <c r="M31" s="1158" t="n"/>
      <c r="N31" s="1158" t="n"/>
      <c r="O31" s="1158" t="n"/>
      <c r="P31" s="1158" t="n"/>
      <c r="Q31" s="1158" t="n"/>
      <c r="R31" s="1158" t="n"/>
      <c r="S31" s="1158" t="n"/>
      <c r="T31" s="1158" t="n"/>
      <c r="U31" s="1158" t="n"/>
      <c r="V31" s="1158" t="n"/>
      <c r="W31" s="1158" t="n"/>
      <c r="X31" s="1158" t="n"/>
      <c r="Y31" s="1158" t="n"/>
      <c r="Z31" s="1158" t="n"/>
      <c r="AA31" s="1158" t="n"/>
      <c r="AB31" s="1158" t="n"/>
      <c r="AC31" s="1158" t="n"/>
      <c r="AD31" s="1158" t="n"/>
      <c r="AE31" s="1158" t="n"/>
      <c r="AF31" s="1158" t="n"/>
      <c r="AG31" s="1158" t="n"/>
    </row>
    <row r="32" ht="25.25" customHeight="1">
      <c r="A32" s="922" t="n"/>
      <c r="B32" s="1159" t="n"/>
      <c r="C32" s="1159" t="n"/>
      <c r="D32" s="1159" t="n"/>
      <c r="E32" s="1159" t="n"/>
      <c r="F32" s="1159" t="n"/>
      <c r="G32" s="1159" t="n"/>
      <c r="H32" s="1159" t="n"/>
      <c r="I32" s="1159" t="n"/>
      <c r="J32" s="1159" t="n"/>
      <c r="K32" s="1159" t="n"/>
      <c r="L32" s="1159" t="n"/>
      <c r="M32" s="1159" t="n"/>
      <c r="N32" s="1159" t="n"/>
      <c r="O32" s="1159" t="n"/>
      <c r="P32" s="1159" t="n"/>
      <c r="Q32" s="1159" t="n"/>
      <c r="R32" s="1159" t="n"/>
      <c r="S32" s="1159" t="n"/>
      <c r="T32" s="1159" t="n"/>
      <c r="U32" s="1159" t="n"/>
      <c r="V32" s="1159" t="n"/>
      <c r="W32" s="1159" t="n"/>
      <c r="X32" s="1159" t="n"/>
      <c r="Y32" s="1159" t="n"/>
      <c r="Z32" s="1159" t="n"/>
      <c r="AA32" s="1159" t="n"/>
      <c r="AB32" s="1159" t="n"/>
      <c r="AC32" s="1159" t="n"/>
      <c r="AD32" s="1159" t="n"/>
      <c r="AE32" s="1159" t="n"/>
      <c r="AF32" s="1159" t="n"/>
      <c r="AG32" s="1159" t="n"/>
    </row>
    <row r="34" ht="18" customHeight="1">
      <c r="AF34" s="932" t="inlineStr">
        <is>
          <t>以上</t>
        </is>
      </c>
    </row>
  </sheetData>
  <mergeCells count="25">
    <mergeCell ref="A1:AG1"/>
    <mergeCell ref="N21:S21"/>
    <mergeCell ref="AH8:AH9"/>
    <mergeCell ref="G19:I19"/>
    <mergeCell ref="G18:I18"/>
    <mergeCell ref="K16:AG16"/>
    <mergeCell ref="R18:U18"/>
    <mergeCell ref="N26:T26"/>
    <mergeCell ref="T6:AG7"/>
    <mergeCell ref="A32:AG32"/>
    <mergeCell ref="T8:AF9"/>
    <mergeCell ref="R19:U19"/>
    <mergeCell ref="G16:I16"/>
    <mergeCell ref="A29:AG29"/>
    <mergeCell ref="AG8:AG9"/>
    <mergeCell ref="M5:N6"/>
    <mergeCell ref="A31:AG31"/>
    <mergeCell ref="K17:AG17"/>
    <mergeCell ref="X3:AG3"/>
    <mergeCell ref="A5:L6"/>
    <mergeCell ref="N22:S22"/>
    <mergeCell ref="A30:AG30"/>
    <mergeCell ref="G17:I17"/>
    <mergeCell ref="K19:O19"/>
    <mergeCell ref="K18:O18"/>
  </mergeCells>
  <dataValidations count="1">
    <dataValidation sqref="A5:L7 A65541:L65543 A131077:L131079 A196613:L196615 A262149:L262151 A327685:L327687 A393221:L393223 A458757:L458759 A524293:L524295 A589829:L589831 A655365:L655367 A720901:L720903 A786437:L786439 A851973:L851975 A917509:L917511 A983045:L983047 T6 T8 T65542 T65544 T131078 T131080 T196614 T196616 T262150 T262152 T327686 T327688 T393222 T393224 T458758 T458760 T524294 T524296 T589830 T589832 T655366 T655368 T720902 T720904 T786438 T786440 T851974 T851976 T917510 T917512 T983046 T983048 AG8:AH8 AG65544:AH65544 AG131080:AH131080 AG196616:AH196616 AG262152:AH262152 AG327688:AH327688 AG393224:AH393224 AG458760:AH458760 AG524296:AH524296 AG589832:AH589832 AG655368:AH655368 AG720904:AH720904 AG786440:AH786440 AG851976:AH851976 AG917512:AH917512 AG983048:AH983048 IW5:JH7 IW65541:JH65543 IW131077:JH131079 IW196613:JH196615 IW262149:JH262151 IW327685:JH327687 IW393221:JH393223 IW458757:JH458759 IW524293:JH524295 IW589829:JH589831 IW655365:JH655367 IW720901:JH720903 IW786437:JH786439 IW851973:JH851975 IW917509:JH917511 IW983045:JH983047 JP6 JP8 JP65542 JP65544 JP131078 JP131080 JP196614 JP196616 JP262150 JP262152 JP327686 JP327688 JP393222 JP393224 JP458758 JP458760 JP524294 JP524296 JP589830 JP589832 JP655366 JP655368 JP720902 JP720904 JP786438 JP786440 JP851974 JP851976 JP917510 JP917512 JP983046 JP983048 KC8:KD8 KC65544:KD65544 KC131080:KD131080 KC196616:KD196616 KC262152:KD262152 KC327688:KD327688 KC393224:KD393224 KC458760:KD458760 KC524296:KD524296 KC589832:KD589832 KC655368:KD655368 KC720904:KD720904 KC786440:KD786440 KC851976:KD851976 KC917512:KD917512 KC983048:KD983048 SS5:TD7 SS65541:TD65543 SS131077:TD131079 SS196613:TD196615 SS262149:TD262151 SS327685:TD327687 SS393221:TD393223 SS458757:TD458759 SS524293:TD524295 SS589829:TD589831 SS655365:TD655367 SS720901:TD720903 SS786437:TD786439 SS851973:TD851975 SS917509:TD917511 SS983045:TD983047 TL6 TL8 TL65542 TL65544 TL131078 TL131080 TL196614 TL196616 TL262150 TL262152 TL327686 TL327688 TL393222 TL393224 TL458758 TL458760 TL524294 TL524296 TL589830 TL589832 TL655366 TL655368 TL720902 TL720904 TL786438 TL786440 TL851974 TL851976 TL917510 TL917512 TL983046 TL983048 TY8:TZ8 TY65544:TZ65544 TY131080:TZ131080 TY196616:TZ196616 TY262152:TZ262152 TY327688:TZ327688 TY393224:TZ393224 TY458760:TZ458760 TY524296:TZ524296 TY589832:TZ589832 TY655368:TZ655368 TY720904:TZ720904 TY786440:TZ786440 TY851976:TZ851976 TY917512:TZ917512 TY983048:TZ983048 ACO5:ACZ7 ACO65541:ACZ65543 ACO131077:ACZ131079 ACO196613:ACZ196615 ACO262149:ACZ262151 ACO327685:ACZ327687 ACO393221:ACZ393223 ACO458757:ACZ458759 ACO524293:ACZ524295 ACO589829:ACZ589831 ACO655365:ACZ655367 ACO720901:ACZ720903 ACO786437:ACZ786439 ACO851973:ACZ851975 ACO917509:ACZ917511 ACO983045:ACZ983047 ADH6 ADH8 ADH65542 ADH65544 ADH131078 ADH131080 ADH196614 ADH196616 ADH262150 ADH262152 ADH327686 ADH327688 ADH393222 ADH393224 ADH458758 ADH458760 ADH524294 ADH524296 ADH589830 ADH589832 ADH655366 ADH655368 ADH720902 ADH720904 ADH786438 ADH786440 ADH851974 ADH851976 ADH917510 ADH917512 ADH983046 ADH983048 ADU8:ADV8 ADU65544:ADV65544 ADU131080:ADV131080 ADU196616:ADV196616 ADU262152:ADV262152 ADU327688:ADV327688 ADU393224:ADV393224 ADU458760:ADV458760 ADU524296:ADV524296 ADU589832:ADV589832 ADU655368:ADV655368 ADU720904:ADV720904 ADU786440:ADV786440 ADU851976:ADV851976 ADU917512:ADV917512 ADU983048:ADV983048 AMK5:AMV7 AMK65541:AMV65543 AMK131077:AMV131079 AMK196613:AMV196615 AMK262149:AMV262151 AMK327685:AMV327687 AMK393221:AMV393223 AMK458757:AMV458759 AMK524293:AMV524295 AMK589829:AMV589831 AMK655365:AMV655367 AMK720901:AMV720903 AMK786437:AMV786439 AMK851973:AMV851975 AMK917509:AMV917511 AMK983045:AMV983047 AND6 AND8 AND65542 AND65544 AND131078 AND131080 AND196614 AND196616 AND262150 AND262152 AND327686 AND327688 AND393222 AND393224 AND458758 AND458760 AND524294 AND524296 AND589830 AND589832 AND655366 AND655368 AND720902 AND720904 AND786438 AND786440 AND851974 AND851976 AND917510 AND917512 AND983046 AND983048 ANQ8:ANR8 ANQ65544:ANR65544 ANQ131080:ANR131080 ANQ196616:ANR196616 ANQ262152:ANR262152 ANQ327688:ANR327688 ANQ393224:ANR393224 ANQ458760:ANR458760 ANQ524296:ANR524296 ANQ589832:ANR589832 ANQ655368:ANR655368 ANQ720904:ANR720904 ANQ786440:ANR786440 ANQ851976:ANR851976 ANQ917512:ANR917512 ANQ983048:ANR983048 AWG5:AWR7 AWG65541:AWR65543 AWG131077:AWR131079 AWG196613:AWR196615 AWG262149:AWR262151 AWG327685:AWR327687 AWG393221:AWR393223 AWG458757:AWR458759 AWG524293:AWR524295 AWG589829:AWR589831 AWG655365:AWR655367 AWG720901:AWR720903 AWG786437:AWR786439 AWG851973:AWR851975 AWG917509:AWR917511 AWG983045:AWR983047 AWZ6 AWZ8 AWZ65542 AWZ65544 AWZ131078 AWZ131080 AWZ196614 AWZ196616 AWZ262150 AWZ262152 AWZ327686 AWZ327688 AWZ393222 AWZ393224 AWZ458758 AWZ458760 AWZ524294 AWZ524296 AWZ589830 AWZ589832 AWZ655366 AWZ655368 AWZ720902 AWZ720904 AWZ786438 AWZ786440 AWZ851974 AWZ851976 AWZ917510 AWZ917512 AWZ983046 AWZ983048 AXM8:AXN8 AXM65544:AXN65544 AXM131080:AXN131080 AXM196616:AXN196616 AXM262152:AXN262152 AXM327688:AXN327688 AXM393224:AXN393224 AXM458760:AXN458760 AXM524296:AXN524296 AXM589832:AXN589832 AXM655368:AXN655368 AXM720904:AXN720904 AXM786440:AXN786440 AXM851976:AXN851976 AXM917512:AXN917512 AXM983048:AXN983048 BGC5:BGN7 BGC65541:BGN65543 BGC131077:BGN131079 BGC196613:BGN196615 BGC262149:BGN262151 BGC327685:BGN327687 BGC393221:BGN393223 BGC458757:BGN458759 BGC524293:BGN524295 BGC589829:BGN589831 BGC655365:BGN655367 BGC720901:BGN720903 BGC786437:BGN786439 BGC851973:BGN851975 BGC917509:BGN917511 BGC983045:BGN983047 BGV6 BGV8 BGV65542 BGV65544 BGV131078 BGV131080 BGV196614 BGV196616 BGV262150 BGV262152 BGV327686 BGV327688 BGV393222 BGV393224 BGV458758 BGV458760 BGV524294 BGV524296 BGV589830 BGV589832 BGV655366 BGV655368 BGV720902 BGV720904 BGV786438 BGV786440 BGV851974 BGV851976 BGV917510 BGV917512 BGV983046 BGV983048 BHI8:BHJ8 BHI65544:BHJ65544 BHI131080:BHJ131080 BHI196616:BHJ196616 BHI262152:BHJ262152 BHI327688:BHJ327688 BHI393224:BHJ393224 BHI458760:BHJ458760 BHI524296:BHJ524296 BHI589832:BHJ589832 BHI655368:BHJ655368 BHI720904:BHJ720904 BHI786440:BHJ786440 BHI851976:BHJ851976 BHI917512:BHJ917512 BHI983048:BHJ983048 BPY5:BQJ7 BPY65541:BQJ65543 BPY131077:BQJ131079 BPY196613:BQJ196615 BPY262149:BQJ262151 BPY327685:BQJ327687 BPY393221:BQJ393223 BPY458757:BQJ458759 BPY524293:BQJ524295 BPY589829:BQJ589831 BPY655365:BQJ655367 BPY720901:BQJ720903 BPY786437:BQJ786439 BPY851973:BQJ851975 BPY917509:BQJ917511 BPY983045:BQJ983047 BQR6 BQR8 BQR65542 BQR65544 BQR131078 BQR131080 BQR196614 BQR196616 BQR262150 BQR262152 BQR327686 BQR327688 BQR393222 BQR393224 BQR458758 BQR458760 BQR524294 BQR524296 BQR589830 BQR589832 BQR655366 BQR655368 BQR720902 BQR720904 BQR786438 BQR786440 BQR851974 BQR851976 BQR917510 BQR917512 BQR983046 BQR983048 BRE8:BRF8 BRE65544:BRF65544 BRE131080:BRF131080 BRE196616:BRF196616 BRE262152:BRF262152 BRE327688:BRF327688 BRE393224:BRF393224 BRE458760:BRF458760 BRE524296:BRF524296 BRE589832:BRF589832 BRE655368:BRF655368 BRE720904:BRF720904 BRE786440:BRF786440 BRE851976:BRF851976 BRE917512:BRF917512 BRE983048:BRF983048 BZU5:CAF7 BZU65541:CAF65543 BZU131077:CAF131079 BZU196613:CAF196615 BZU262149:CAF262151 BZU327685:CAF327687 BZU393221:CAF393223 BZU458757:CAF458759 BZU524293:CAF524295 BZU589829:CAF589831 BZU655365:CAF655367 BZU720901:CAF720903 BZU786437:CAF786439 BZU851973:CAF851975 BZU917509:CAF917511 BZU983045:CAF983047 CAN6 CAN8 CAN65542 CAN65544 CAN131078 CAN131080 CAN196614 CAN196616 CAN262150 CAN262152 CAN327686 CAN327688 CAN393222 CAN393224 CAN458758 CAN458760 CAN524294 CAN524296 CAN589830 CAN589832 CAN655366 CAN655368 CAN720902 CAN720904 CAN786438 CAN786440 CAN851974 CAN851976 CAN917510 CAN917512 CAN983046 CAN983048 CBA8:CBB8 CBA65544:CBB65544 CBA131080:CBB131080 CBA196616:CBB196616 CBA262152:CBB262152 CBA327688:CBB327688 CBA393224:CBB393224 CBA458760:CBB458760 CBA524296:CBB524296 CBA589832:CBB589832 CBA655368:CBB655368 CBA720904:CBB720904 CBA786440:CBB786440 CBA851976:CBB851976 CBA917512:CBB917512 CBA983048:CBB983048 CJQ5:CKB7 CJQ65541:CKB65543 CJQ131077:CKB131079 CJQ196613:CKB196615 CJQ262149:CKB262151 CJQ327685:CKB327687 CJQ393221:CKB393223 CJQ458757:CKB458759 CJQ524293:CKB524295 CJQ589829:CKB589831 CJQ655365:CKB655367 CJQ720901:CKB720903 CJQ786437:CKB786439 CJQ851973:CKB851975 CJQ917509:CKB917511 CJQ983045:CKB983047 CKJ6 CKJ8 CKJ65542 CKJ65544 CKJ131078 CKJ131080 CKJ196614 CKJ196616 CKJ262150 CKJ262152 CKJ327686 CKJ327688 CKJ393222 CKJ393224 CKJ458758 CKJ458760 CKJ524294 CKJ524296 CKJ589830 CKJ589832 CKJ655366 CKJ655368 CKJ720902 CKJ720904 CKJ786438 CKJ786440 CKJ851974 CKJ851976 CKJ917510 CKJ917512 CKJ983046 CKJ983048 CKW8:CKX8 CKW65544:CKX65544 CKW131080:CKX131080 CKW196616:CKX196616 CKW262152:CKX262152 CKW327688:CKX327688 CKW393224:CKX393224 CKW458760:CKX458760 CKW524296:CKX524296 CKW589832:CKX589832 CKW655368:CKX655368 CKW720904:CKX720904 CKW786440:CKX786440 CKW851976:CKX851976 CKW917512:CKX917512 CKW983048:CKX983048 CTM5:CTX7 CTM65541:CTX65543 CTM131077:CTX131079 CTM196613:CTX196615 CTM262149:CTX262151 CTM327685:CTX327687 CTM393221:CTX393223 CTM458757:CTX458759 CTM524293:CTX524295 CTM589829:CTX589831 CTM655365:CTX655367 CTM720901:CTX720903 CTM786437:CTX786439 CTM851973:CTX851975 CTM917509:CTX917511 CTM983045:CTX983047 CUF6 CUF8 CUF65542 CUF65544 CUF131078 CUF131080 CUF196614 CUF196616 CUF262150 CUF262152 CUF327686 CUF327688 CUF393222 CUF393224 CUF458758 CUF458760 CUF524294 CUF524296 CUF589830 CUF589832 CUF655366 CUF655368 CUF720902 CUF720904 CUF786438 CUF786440 CUF851974 CUF851976 CUF917510 CUF917512 CUF983046 CUF983048 CUS8:CUT8 CUS65544:CUT65544 CUS131080:CUT131080 CUS196616:CUT196616 CUS262152:CUT262152 CUS327688:CUT327688 CUS393224:CUT393224 CUS458760:CUT458760 CUS524296:CUT524296 CUS589832:CUT589832 CUS655368:CUT655368 CUS720904:CUT720904 CUS786440:CUT786440 CUS851976:CUT851976 CUS917512:CUT917512 CUS983048:CUT983048 DDI5:DDT7 DDI65541:DDT65543 DDI131077:DDT131079 DDI196613:DDT196615 DDI262149:DDT262151 DDI327685:DDT327687 DDI393221:DDT393223 DDI458757:DDT458759 DDI524293:DDT524295 DDI589829:DDT589831 DDI655365:DDT655367 DDI720901:DDT720903 DDI786437:DDT786439 DDI851973:DDT851975 DDI917509:DDT917511 DDI983045:DDT983047 DEB6 DEB8 DEB65542 DEB65544 DEB131078 DEB131080 DEB196614 DEB196616 DEB262150 DEB262152 DEB327686 DEB327688 DEB393222 DEB393224 DEB458758 DEB458760 DEB524294 DEB524296 DEB589830 DEB589832 DEB655366 DEB655368 DEB720902 DEB720904 DEB786438 DEB786440 DEB851974 DEB851976 DEB917510 DEB917512 DEB983046 DEB983048 DEO8:DEP8 DEO65544:DEP65544 DEO131080:DEP131080 DEO196616:DEP196616 DEO262152:DEP262152 DEO327688:DEP327688 DEO393224:DEP393224 DEO458760:DEP458760 DEO524296:DEP524296 DEO589832:DEP589832 DEO655368:DEP655368 DEO720904:DEP720904 DEO786440:DEP786440 DEO851976:DEP851976 DEO917512:DEP917512 DEO983048:DEP983048 DNE5:DNP7 DNE65541:DNP65543 DNE131077:DNP131079 DNE196613:DNP196615 DNE262149:DNP262151 DNE327685:DNP327687 DNE393221:DNP393223 DNE458757:DNP458759 DNE524293:DNP524295 DNE589829:DNP589831 DNE655365:DNP655367 DNE720901:DNP720903 DNE786437:DNP786439 DNE851973:DNP851975 DNE917509:DNP917511 DNE983045:DNP983047 DNX6 DNX8 DNX65542 DNX65544 DNX131078 DNX131080 DNX196614 DNX196616 DNX262150 DNX262152 DNX327686 DNX327688 DNX393222 DNX393224 DNX458758 DNX458760 DNX524294 DNX524296 DNX589830 DNX589832 DNX655366 DNX655368 DNX720902 DNX720904 DNX786438 DNX786440 DNX851974 DNX851976 DNX917510 DNX917512 DNX983046 DNX983048 DOK8:DOL8 DOK65544:DOL65544 DOK131080:DOL131080 DOK196616:DOL196616 DOK262152:DOL262152 DOK327688:DOL327688 DOK393224:DOL393224 DOK458760:DOL458760 DOK524296:DOL524296 DOK589832:DOL589832 DOK655368:DOL655368 DOK720904:DOL720904 DOK786440:DOL786440 DOK851976:DOL851976 DOK917512:DOL917512 DOK983048:DOL983048 DXA5:DXL7 DXA65541:DXL65543 DXA131077:DXL131079 DXA196613:DXL196615 DXA262149:DXL262151 DXA327685:DXL327687 DXA393221:DXL393223 DXA458757:DXL458759 DXA524293:DXL524295 DXA589829:DXL589831 DXA655365:DXL655367 DXA720901:DXL720903 DXA786437:DXL786439 DXA851973:DXL851975 DXA917509:DXL917511 DXA983045:DXL983047 DXT6 DXT8 DXT65542 DXT65544 DXT131078 DXT131080 DXT196614 DXT196616 DXT262150 DXT262152 DXT327686 DXT327688 DXT393222 DXT393224 DXT458758 DXT458760 DXT524294 DXT524296 DXT589830 DXT589832 DXT655366 DXT655368 DXT720902 DXT720904 DXT786438 DXT786440 DXT851974 DXT851976 DXT917510 DXT917512 DXT983046 DXT983048 DYG8:DYH8 DYG65544:DYH65544 DYG131080:DYH131080 DYG196616:DYH196616 DYG262152:DYH262152 DYG327688:DYH327688 DYG393224:DYH393224 DYG458760:DYH458760 DYG524296:DYH524296 DYG589832:DYH589832 DYG655368:DYH655368 DYG720904:DYH720904 DYG786440:DYH786440 DYG851976:DYH851976 DYG917512:DYH917512 DYG983048:DYH983048 EGW5:EHH7 EGW65541:EHH65543 EGW131077:EHH131079 EGW196613:EHH196615 EGW262149:EHH262151 EGW327685:EHH327687 EGW393221:EHH393223 EGW458757:EHH458759 EGW524293:EHH524295 EGW589829:EHH589831 EGW655365:EHH655367 EGW720901:EHH720903 EGW786437:EHH786439 EGW851973:EHH851975 EGW917509:EHH917511 EGW983045:EHH983047 EHP6 EHP8 EHP65542 EHP65544 EHP131078 EHP131080 EHP196614 EHP196616 EHP262150 EHP262152 EHP327686 EHP327688 EHP393222 EHP393224 EHP458758 EHP458760 EHP524294 EHP524296 EHP589830 EHP589832 EHP655366 EHP655368 EHP720902 EHP720904 EHP786438 EHP786440 EHP851974 EHP851976 EHP917510 EHP917512 EHP983046 EHP983048 EIC8:EID8 EIC65544:EID65544 EIC131080:EID131080 EIC196616:EID196616 EIC262152:EID262152 EIC327688:EID327688 EIC393224:EID393224 EIC458760:EID458760 EIC524296:EID524296 EIC589832:EID589832 EIC655368:EID655368 EIC720904:EID720904 EIC786440:EID786440 EIC851976:EID851976 EIC917512:EID917512 EIC983048:EID983048 EQS5:ERD7 EQS65541:ERD65543 EQS131077:ERD131079 EQS196613:ERD196615 EQS262149:ERD262151 EQS327685:ERD327687 EQS393221:ERD393223 EQS458757:ERD458759 EQS524293:ERD524295 EQS589829:ERD589831 EQS655365:ERD655367 EQS720901:ERD720903 EQS786437:ERD786439 EQS851973:ERD851975 EQS917509:ERD917511 EQS983045:ERD983047 ERL6 ERL8 ERL65542 ERL65544 ERL131078 ERL131080 ERL196614 ERL196616 ERL262150 ERL262152 ERL327686 ERL327688 ERL393222 ERL393224 ERL458758 ERL458760 ERL524294 ERL524296 ERL589830 ERL589832 ERL655366 ERL655368 ERL720902 ERL720904 ERL786438 ERL786440 ERL851974 ERL851976 ERL917510 ERL917512 ERL983046 ERL983048 ERY8:ERZ8 ERY65544:ERZ65544 ERY131080:ERZ131080 ERY196616:ERZ196616 ERY262152:ERZ262152 ERY327688:ERZ327688 ERY393224:ERZ393224 ERY458760:ERZ458760 ERY524296:ERZ524296 ERY589832:ERZ589832 ERY655368:ERZ655368 ERY720904:ERZ720904 ERY786440:ERZ786440 ERY851976:ERZ851976 ERY917512:ERZ917512 ERY983048:ERZ983048 FAO5:FAZ7 FAO65541:FAZ65543 FAO131077:FAZ131079 FAO196613:FAZ196615 FAO262149:FAZ262151 FAO327685:FAZ327687 FAO393221:FAZ393223 FAO458757:FAZ458759 FAO524293:FAZ524295 FAO589829:FAZ589831 FAO655365:FAZ655367 FAO720901:FAZ720903 FAO786437:FAZ786439 FAO851973:FAZ851975 FAO917509:FAZ917511 FAO983045:FAZ983047 FBH6 FBH8 FBH65542 FBH65544 FBH131078 FBH131080 FBH196614 FBH196616 FBH262150 FBH262152 FBH327686 FBH327688 FBH393222 FBH393224 FBH458758 FBH458760 FBH524294 FBH524296 FBH589830 FBH589832 FBH655366 FBH655368 FBH720902 FBH720904 FBH786438 FBH786440 FBH851974 FBH851976 FBH917510 FBH917512 FBH983046 FBH983048 FBU8:FBV8 FBU65544:FBV65544 FBU131080:FBV131080 FBU196616:FBV196616 FBU262152:FBV262152 FBU327688:FBV327688 FBU393224:FBV393224 FBU458760:FBV458760 FBU524296:FBV524296 FBU589832:FBV589832 FBU655368:FBV655368 FBU720904:FBV720904 FBU786440:FBV786440 FBU851976:FBV851976 FBU917512:FBV917512 FBU983048:FBV983048 FKK5:FKV7 FKK65541:FKV65543 FKK131077:FKV131079 FKK196613:FKV196615 FKK262149:FKV262151 FKK327685:FKV327687 FKK393221:FKV393223 FKK458757:FKV458759 FKK524293:FKV524295 FKK589829:FKV589831 FKK655365:FKV655367 FKK720901:FKV720903 FKK786437:FKV786439 FKK851973:FKV851975 FKK917509:FKV917511 FKK983045:FKV983047 FLD6 FLD8 FLD65542 FLD65544 FLD131078 FLD131080 FLD196614 FLD196616 FLD262150 FLD262152 FLD327686 FLD327688 FLD393222 FLD393224 FLD458758 FLD458760 FLD524294 FLD524296 FLD589830 FLD589832 FLD655366 FLD655368 FLD720902 FLD720904 FLD786438 FLD786440 FLD851974 FLD851976 FLD917510 FLD917512 FLD983046 FLD983048 FLQ8:FLR8 FLQ65544:FLR65544 FLQ131080:FLR131080 FLQ196616:FLR196616 FLQ262152:FLR262152 FLQ327688:FLR327688 FLQ393224:FLR393224 FLQ458760:FLR458760 FLQ524296:FLR524296 FLQ589832:FLR589832 FLQ655368:FLR655368 FLQ720904:FLR720904 FLQ786440:FLR786440 FLQ851976:FLR851976 FLQ917512:FLR917512 FLQ983048:FLR983048 FUG5:FUR7 FUG65541:FUR65543 FUG131077:FUR131079 FUG196613:FUR196615 FUG262149:FUR262151 FUG327685:FUR327687 FUG393221:FUR393223 FUG458757:FUR458759 FUG524293:FUR524295 FUG589829:FUR589831 FUG655365:FUR655367 FUG720901:FUR720903 FUG786437:FUR786439 FUG851973:FUR851975 FUG917509:FUR917511 FUG983045:FUR983047 FUZ6 FUZ8 FUZ65542 FUZ65544 FUZ131078 FUZ131080 FUZ196614 FUZ196616 FUZ262150 FUZ262152 FUZ327686 FUZ327688 FUZ393222 FUZ393224 FUZ458758 FUZ458760 FUZ524294 FUZ524296 FUZ589830 FUZ589832 FUZ655366 FUZ655368 FUZ720902 FUZ720904 FUZ786438 FUZ786440 FUZ851974 FUZ851976 FUZ917510 FUZ917512 FUZ983046 FUZ983048 FVM8:FVN8 FVM65544:FVN65544 FVM131080:FVN131080 FVM196616:FVN196616 FVM262152:FVN262152 FVM327688:FVN327688 FVM393224:FVN393224 FVM458760:FVN458760 FVM524296:FVN524296 FVM589832:FVN589832 FVM655368:FVN655368 FVM720904:FVN720904 FVM786440:FVN786440 FVM851976:FVN851976 FVM917512:FVN917512 FVM983048:FVN983048 GEC5:GEN7 GEC65541:GEN65543 GEC131077:GEN131079 GEC196613:GEN196615 GEC262149:GEN262151 GEC327685:GEN327687 GEC393221:GEN393223 GEC458757:GEN458759 GEC524293:GEN524295 GEC589829:GEN589831 GEC655365:GEN655367 GEC720901:GEN720903 GEC786437:GEN786439 GEC851973:GEN851975 GEC917509:GEN917511 GEC983045:GEN983047 GEV6 GEV8 GEV65542 GEV65544 GEV131078 GEV131080 GEV196614 GEV196616 GEV262150 GEV262152 GEV327686 GEV327688 GEV393222 GEV393224 GEV458758 GEV458760 GEV524294 GEV524296 GEV589830 GEV589832 GEV655366 GEV655368 GEV720902 GEV720904 GEV786438 GEV786440 GEV851974 GEV851976 GEV917510 GEV917512 GEV983046 GEV983048 GFI8:GFJ8 GFI65544:GFJ65544 GFI131080:GFJ131080 GFI196616:GFJ196616 GFI262152:GFJ262152 GFI327688:GFJ327688 GFI393224:GFJ393224 GFI458760:GFJ458760 GFI524296:GFJ524296 GFI589832:GFJ589832 GFI655368:GFJ655368 GFI720904:GFJ720904 GFI786440:GFJ786440 GFI851976:GFJ851976 GFI917512:GFJ917512 GFI983048:GFJ983048 GNY5:GOJ7 GNY65541:GOJ65543 GNY131077:GOJ131079 GNY196613:GOJ196615 GNY262149:GOJ262151 GNY327685:GOJ327687 GNY393221:GOJ393223 GNY458757:GOJ458759 GNY524293:GOJ524295 GNY589829:GOJ589831 GNY655365:GOJ655367 GNY720901:GOJ720903 GNY786437:GOJ786439 GNY851973:GOJ851975 GNY917509:GOJ917511 GNY983045:GOJ983047 GOR6 GOR8 GOR65542 GOR65544 GOR131078 GOR131080 GOR196614 GOR196616 GOR262150 GOR262152 GOR327686 GOR327688 GOR393222 GOR393224 GOR458758 GOR458760 GOR524294 GOR524296 GOR589830 GOR589832 GOR655366 GOR655368 GOR720902 GOR720904 GOR786438 GOR786440 GOR851974 GOR851976 GOR917510 GOR917512 GOR983046 GOR983048 GPE8:GPF8 GPE65544:GPF65544 GPE131080:GPF131080 GPE196616:GPF196616 GPE262152:GPF262152 GPE327688:GPF327688 GPE393224:GPF393224 GPE458760:GPF458760 GPE524296:GPF524296 GPE589832:GPF589832 GPE655368:GPF655368 GPE720904:GPF720904 GPE786440:GPF786440 GPE851976:GPF851976 GPE917512:GPF917512 GPE983048:GPF983048 GXU5:GYF7 GXU65541:GYF65543 GXU131077:GYF131079 GXU196613:GYF196615 GXU262149:GYF262151 GXU327685:GYF327687 GXU393221:GYF393223 GXU458757:GYF458759 GXU524293:GYF524295 GXU589829:GYF589831 GXU655365:GYF655367 GXU720901:GYF720903 GXU786437:GYF786439 GXU851973:GYF851975 GXU917509:GYF917511 GXU983045:GYF983047 GYN6 GYN8 GYN65542 GYN65544 GYN131078 GYN131080 GYN196614 GYN196616 GYN262150 GYN262152 GYN327686 GYN327688 GYN393222 GYN393224 GYN458758 GYN458760 GYN524294 GYN524296 GYN589830 GYN589832 GYN655366 GYN655368 GYN720902 GYN720904 GYN786438 GYN786440 GYN851974 GYN851976 GYN917510 GYN917512 GYN983046 GYN983048 GZA8:GZB8 GZA65544:GZB65544 GZA131080:GZB131080 GZA196616:GZB196616 GZA262152:GZB262152 GZA327688:GZB327688 GZA393224:GZB393224 GZA458760:GZB458760 GZA524296:GZB524296 GZA589832:GZB589832 GZA655368:GZB655368 GZA720904:GZB720904 GZA786440:GZB786440 GZA851976:GZB851976 GZA917512:GZB917512 GZA983048:GZB983048 HHQ5:HIB7 HHQ65541:HIB65543 HHQ131077:HIB131079 HHQ196613:HIB196615 HHQ262149:HIB262151 HHQ327685:HIB327687 HHQ393221:HIB393223 HHQ458757:HIB458759 HHQ524293:HIB524295 HHQ589829:HIB589831 HHQ655365:HIB655367 HHQ720901:HIB720903 HHQ786437:HIB786439 HHQ851973:HIB851975 HHQ917509:HIB917511 HHQ983045:HIB983047 HIJ6 HIJ8 HIJ65542 HIJ65544 HIJ131078 HIJ131080 HIJ196614 HIJ196616 HIJ262150 HIJ262152 HIJ327686 HIJ327688 HIJ393222 HIJ393224 HIJ458758 HIJ458760 HIJ524294 HIJ524296 HIJ589830 HIJ589832 HIJ655366 HIJ655368 HIJ720902 HIJ720904 HIJ786438 HIJ786440 HIJ851974 HIJ851976 HIJ917510 HIJ917512 HIJ983046 HIJ983048 HIW8:HIX8 HIW65544:HIX65544 HIW131080:HIX131080 HIW196616:HIX196616 HIW262152:HIX262152 HIW327688:HIX327688 HIW393224:HIX393224 HIW458760:HIX458760 HIW524296:HIX524296 HIW589832:HIX589832 HIW655368:HIX655368 HIW720904:HIX720904 HIW786440:HIX786440 HIW851976:HIX851976 HIW917512:HIX917512 HIW983048:HIX983048 HRM5:HRX7 HRM65541:HRX65543 HRM131077:HRX131079 HRM196613:HRX196615 HRM262149:HRX262151 HRM327685:HRX327687 HRM393221:HRX393223 HRM458757:HRX458759 HRM524293:HRX524295 HRM589829:HRX589831 HRM655365:HRX655367 HRM720901:HRX720903 HRM786437:HRX786439 HRM851973:HRX851975 HRM917509:HRX917511 HRM983045:HRX983047 HSF6 HSF8 HSF65542 HSF65544 HSF131078 HSF131080 HSF196614 HSF196616 HSF262150 HSF262152 HSF327686 HSF327688 HSF393222 HSF393224 HSF458758 HSF458760 HSF524294 HSF524296 HSF589830 HSF589832 HSF655366 HSF655368 HSF720902 HSF720904 HSF786438 HSF786440 HSF851974 HSF851976 HSF917510 HSF917512 HSF983046 HSF983048 HSS8:HST8 HSS65544:HST65544 HSS131080:HST131080 HSS196616:HST196616 HSS262152:HST262152 HSS327688:HST327688 HSS393224:HST393224 HSS458760:HST458760 HSS524296:HST524296 HSS589832:HST589832 HSS655368:HST655368 HSS720904:HST720904 HSS786440:HST786440 HSS851976:HST851976 HSS917512:HST917512 HSS983048:HST983048 IBI5:IBT7 IBI65541:IBT65543 IBI131077:IBT131079 IBI196613:IBT196615 IBI262149:IBT262151 IBI327685:IBT327687 IBI393221:IBT393223 IBI458757:IBT458759 IBI524293:IBT524295 IBI589829:IBT589831 IBI655365:IBT655367 IBI720901:IBT720903 IBI786437:IBT786439 IBI851973:IBT851975 IBI917509:IBT917511 IBI983045:IBT983047 ICB6 ICB8 ICB65542 ICB65544 ICB131078 ICB131080 ICB196614 ICB196616 ICB262150 ICB262152 ICB327686 ICB327688 ICB393222 ICB393224 ICB458758 ICB458760 ICB524294 ICB524296 ICB589830 ICB589832 ICB655366 ICB655368 ICB720902 ICB720904 ICB786438 ICB786440 ICB851974 ICB851976 ICB917510 ICB917512 ICB983046 ICB983048 ICO8:ICP8 ICO65544:ICP65544 ICO131080:ICP131080 ICO196616:ICP196616 ICO262152:ICP262152 ICO327688:ICP327688 ICO393224:ICP393224 ICO458760:ICP458760 ICO524296:ICP524296 ICO589832:ICP589832 ICO655368:ICP655368 ICO720904:ICP720904 ICO786440:ICP786440 ICO851976:ICP851976 ICO917512:ICP917512 ICO983048:ICP983048 ILE5:ILP7 ILE65541:ILP65543 ILE131077:ILP131079 ILE196613:ILP196615 ILE262149:ILP262151 ILE327685:ILP327687 ILE393221:ILP393223 ILE458757:ILP458759 ILE524293:ILP524295 ILE589829:ILP589831 ILE655365:ILP655367 ILE720901:ILP720903 ILE786437:ILP786439 ILE851973:ILP851975 ILE917509:ILP917511 ILE983045:ILP983047 ILX6 ILX8 ILX65542 ILX65544 ILX131078 ILX131080 ILX196614 ILX196616 ILX262150 ILX262152 ILX327686 ILX327688 ILX393222 ILX393224 ILX458758 ILX458760 ILX524294 ILX524296 ILX589830 ILX589832 ILX655366 ILX655368 ILX720902 ILX720904 ILX786438 ILX786440 ILX851974 ILX851976 ILX917510 ILX917512 ILX983046 ILX983048 IMK8:IML8 IMK65544:IML65544 IMK131080:IML131080 IMK196616:IML196616 IMK262152:IML262152 IMK327688:IML327688 IMK393224:IML393224 IMK458760:IML458760 IMK524296:IML524296 IMK589832:IML589832 IMK655368:IML655368 IMK720904:IML720904 IMK786440:IML786440 IMK851976:IML851976 IMK917512:IML917512 IMK983048:IML983048 IVA5:IVL7 IVA65541:IVL65543 IVA131077:IVL131079 IVA196613:IVL196615 IVA262149:IVL262151 IVA327685:IVL327687 IVA393221:IVL393223 IVA458757:IVL458759 IVA524293:IVL524295 IVA589829:IVL589831 IVA655365:IVL655367 IVA720901:IVL720903 IVA786437:IVL786439 IVA851973:IVL851975 IVA917509:IVL917511 IVA983045:IVL983047 IVT6 IVT8 IVT65542 IVT65544 IVT131078 IVT131080 IVT196614 IVT196616 IVT262150 IVT262152 IVT327686 IVT327688 IVT393222 IVT393224 IVT458758 IVT458760 IVT524294 IVT524296 IVT589830 IVT589832 IVT655366 IVT655368 IVT720902 IVT720904 IVT786438 IVT786440 IVT851974 IVT851976 IVT917510 IVT917512 IVT983046 IVT983048 IWG8:IWH8 IWG65544:IWH65544 IWG131080:IWH131080 IWG196616:IWH196616 IWG262152:IWH262152 IWG327688:IWH327688 IWG393224:IWH393224 IWG458760:IWH458760 IWG524296:IWH524296 IWG589832:IWH589832 IWG655368:IWH655368 IWG720904:IWH720904 IWG786440:IWH786440 IWG851976:IWH851976 IWG917512:IWH917512 IWG983048:IWH983048 JEW5:JFH7 JEW65541:JFH65543 JEW131077:JFH131079 JEW196613:JFH196615 JEW262149:JFH262151 JEW327685:JFH327687 JEW393221:JFH393223 JEW458757:JFH458759 JEW524293:JFH524295 JEW589829:JFH589831 JEW655365:JFH655367 JEW720901:JFH720903 JEW786437:JFH786439 JEW851973:JFH851975 JEW917509:JFH917511 JEW983045:JFH983047 JFP6 JFP8 JFP65542 JFP65544 JFP131078 JFP131080 JFP196614 JFP196616 JFP262150 JFP262152 JFP327686 JFP327688 JFP393222 JFP393224 JFP458758 JFP458760 JFP524294 JFP524296 JFP589830 JFP589832 JFP655366 JFP655368 JFP720902 JFP720904 JFP786438 JFP786440 JFP851974 JFP851976 JFP917510 JFP917512 JFP983046 JFP983048 JGC8:JGD8 JGC65544:JGD65544 JGC131080:JGD131080 JGC196616:JGD196616 JGC262152:JGD262152 JGC327688:JGD327688 JGC393224:JGD393224 JGC458760:JGD458760 JGC524296:JGD524296 JGC589832:JGD589832 JGC655368:JGD655368 JGC720904:JGD720904 JGC786440:JGD786440 JGC851976:JGD851976 JGC917512:JGD917512 JGC983048:JGD983048 JOS5:JPD7 JOS65541:JPD65543 JOS131077:JPD131079 JOS196613:JPD196615 JOS262149:JPD262151 JOS327685:JPD327687 JOS393221:JPD393223 JOS458757:JPD458759 JOS524293:JPD524295 JOS589829:JPD589831 JOS655365:JPD655367 JOS720901:JPD720903 JOS786437:JPD786439 JOS851973:JPD851975 JOS917509:JPD917511 JOS983045:JPD983047 JPL6 JPL8 JPL65542 JPL65544 JPL131078 JPL131080 JPL196614 JPL196616 JPL262150 JPL262152 JPL327686 JPL327688 JPL393222 JPL393224 JPL458758 JPL458760 JPL524294 JPL524296 JPL589830 JPL589832 JPL655366 JPL655368 JPL720902 JPL720904 JPL786438 JPL786440 JPL851974 JPL851976 JPL917510 JPL917512 JPL983046 JPL983048 JPY8:JPZ8 JPY65544:JPZ65544 JPY131080:JPZ131080 JPY196616:JPZ196616 JPY262152:JPZ262152 JPY327688:JPZ327688 JPY393224:JPZ393224 JPY458760:JPZ458760 JPY524296:JPZ524296 JPY589832:JPZ589832 JPY655368:JPZ655368 JPY720904:JPZ720904 JPY786440:JPZ786440 JPY851976:JPZ851976 JPY917512:JPZ917512 JPY983048:JPZ983048 JYO5:JYZ7 JYO65541:JYZ65543 JYO131077:JYZ131079 JYO196613:JYZ196615 JYO262149:JYZ262151 JYO327685:JYZ327687 JYO393221:JYZ393223 JYO458757:JYZ458759 JYO524293:JYZ524295 JYO589829:JYZ589831 JYO655365:JYZ655367 JYO720901:JYZ720903 JYO786437:JYZ786439 JYO851973:JYZ851975 JYO917509:JYZ917511 JYO983045:JYZ983047 JZH6 JZH8 JZH65542 JZH65544 JZH131078 JZH131080 JZH196614 JZH196616 JZH262150 JZH262152 JZH327686 JZH327688 JZH393222 JZH393224 JZH458758 JZH458760 JZH524294 JZH524296 JZH589830 JZH589832 JZH655366 JZH655368 JZH720902 JZH720904 JZH786438 JZH786440 JZH851974 JZH851976 JZH917510 JZH917512 JZH983046 JZH983048 JZU8:JZV8 JZU65544:JZV65544 JZU131080:JZV131080 JZU196616:JZV196616 JZU262152:JZV262152 JZU327688:JZV327688 JZU393224:JZV393224 JZU458760:JZV458760 JZU524296:JZV524296 JZU589832:JZV589832 JZU655368:JZV655368 JZU720904:JZV720904 JZU786440:JZV786440 JZU851976:JZV851976 JZU917512:JZV917512 JZU983048:JZV983048 KIK5:KIV7 KIK65541:KIV65543 KIK131077:KIV131079 KIK196613:KIV196615 KIK262149:KIV262151 KIK327685:KIV327687 KIK393221:KIV393223 KIK458757:KIV458759 KIK524293:KIV524295 KIK589829:KIV589831 KIK655365:KIV655367 KIK720901:KIV720903 KIK786437:KIV786439 KIK851973:KIV851975 KIK917509:KIV917511 KIK983045:KIV983047 KJD6 KJD8 KJD65542 KJD65544 KJD131078 KJD131080 KJD196614 KJD196616 KJD262150 KJD262152 KJD327686 KJD327688 KJD393222 KJD393224 KJD458758 KJD458760 KJD524294 KJD524296 KJD589830 KJD589832 KJD655366 KJD655368 KJD720902 KJD720904 KJD786438 KJD786440 KJD851974 KJD851976 KJD917510 KJD917512 KJD983046 KJD983048 KJQ8:KJR8 KJQ65544:KJR65544 KJQ131080:KJR131080 KJQ196616:KJR196616 KJQ262152:KJR262152 KJQ327688:KJR327688 KJQ393224:KJR393224 KJQ458760:KJR458760 KJQ524296:KJR524296 KJQ589832:KJR589832 KJQ655368:KJR655368 KJQ720904:KJR720904 KJQ786440:KJR786440 KJQ851976:KJR851976 KJQ917512:KJR917512 KJQ983048:KJR983048 KSG5:KSR7 KSG65541:KSR65543 KSG131077:KSR131079 KSG196613:KSR196615 KSG262149:KSR262151 KSG327685:KSR327687 KSG393221:KSR393223 KSG458757:KSR458759 KSG524293:KSR524295 KSG589829:KSR589831 KSG655365:KSR655367 KSG720901:KSR720903 KSG786437:KSR786439 KSG851973:KSR851975 KSG917509:KSR917511 KSG983045:KSR983047 KSZ6 KSZ8 KSZ65542 KSZ65544 KSZ131078 KSZ131080 KSZ196614 KSZ196616 KSZ262150 KSZ262152 KSZ327686 KSZ327688 KSZ393222 KSZ393224 KSZ458758 KSZ458760 KSZ524294 KSZ524296 KSZ589830 KSZ589832 KSZ655366 KSZ655368 KSZ720902 KSZ720904 KSZ786438 KSZ786440 KSZ851974 KSZ851976 KSZ917510 KSZ917512 KSZ983046 KSZ983048 KTM8:KTN8 KTM65544:KTN65544 KTM131080:KTN131080 KTM196616:KTN196616 KTM262152:KTN262152 KTM327688:KTN327688 KTM393224:KTN393224 KTM458760:KTN458760 KTM524296:KTN524296 KTM589832:KTN589832 KTM655368:KTN655368 KTM720904:KTN720904 KTM786440:KTN786440 KTM851976:KTN851976 KTM917512:KTN917512 KTM983048:KTN983048 LCC5:LCN7 LCC65541:LCN65543 LCC131077:LCN131079 LCC196613:LCN196615 LCC262149:LCN262151 LCC327685:LCN327687 LCC393221:LCN393223 LCC458757:LCN458759 LCC524293:LCN524295 LCC589829:LCN589831 LCC655365:LCN655367 LCC720901:LCN720903 LCC786437:LCN786439 LCC851973:LCN851975 LCC917509:LCN917511 LCC983045:LCN983047 LCV6 LCV8 LCV65542 LCV65544 LCV131078 LCV131080 LCV196614 LCV196616 LCV262150 LCV262152 LCV327686 LCV327688 LCV393222 LCV393224 LCV458758 LCV458760 LCV524294 LCV524296 LCV589830 LCV589832 LCV655366 LCV655368 LCV720902 LCV720904 LCV786438 LCV786440 LCV851974 LCV851976 LCV917510 LCV917512 LCV983046 LCV983048 LDI8:LDJ8 LDI65544:LDJ65544 LDI131080:LDJ131080 LDI196616:LDJ196616 LDI262152:LDJ262152 LDI327688:LDJ327688 LDI393224:LDJ393224 LDI458760:LDJ458760 LDI524296:LDJ524296 LDI589832:LDJ589832 LDI655368:LDJ655368 LDI720904:LDJ720904 LDI786440:LDJ786440 LDI851976:LDJ851976 LDI917512:LDJ917512 LDI983048:LDJ983048 LLY5:LMJ7 LLY65541:LMJ65543 LLY131077:LMJ131079 LLY196613:LMJ196615 LLY262149:LMJ262151 LLY327685:LMJ327687 LLY393221:LMJ393223 LLY458757:LMJ458759 LLY524293:LMJ524295 LLY589829:LMJ589831 LLY655365:LMJ655367 LLY720901:LMJ720903 LLY786437:LMJ786439 LLY851973:LMJ851975 LLY917509:LMJ917511 LLY983045:LMJ983047 LMR6 LMR8 LMR65542 LMR65544 LMR131078 LMR131080 LMR196614 LMR196616 LMR262150 LMR262152 LMR327686 LMR327688 LMR393222 LMR393224 LMR458758 LMR458760 LMR524294 LMR524296 LMR589830 LMR589832 LMR655366 LMR655368 LMR720902 LMR720904 LMR786438 LMR786440 LMR851974 LMR851976 LMR917510 LMR917512 LMR983046 LMR983048 LNE8:LNF8 LNE65544:LNF65544 LNE131080:LNF131080 LNE196616:LNF196616 LNE262152:LNF262152 LNE327688:LNF327688 LNE393224:LNF393224 LNE458760:LNF458760 LNE524296:LNF524296 LNE589832:LNF589832 LNE655368:LNF655368 LNE720904:LNF720904 LNE786440:LNF786440 LNE851976:LNF851976 LNE917512:LNF917512 LNE983048:LNF983048 LVU5:LWF7 LVU65541:LWF65543 LVU131077:LWF131079 LVU196613:LWF196615 LVU262149:LWF262151 LVU327685:LWF327687 LVU393221:LWF393223 LVU458757:LWF458759 LVU524293:LWF524295 LVU589829:LWF589831 LVU655365:LWF655367 LVU720901:LWF720903 LVU786437:LWF786439 LVU851973:LWF851975 LVU917509:LWF917511 LVU983045:LWF983047 LWN6 LWN8 LWN65542 LWN65544 LWN131078 LWN131080 LWN196614 LWN196616 LWN262150 LWN262152 LWN327686 LWN327688 LWN393222 LWN393224 LWN458758 LWN458760 LWN524294 LWN524296 LWN589830 LWN589832 LWN655366 LWN655368 LWN720902 LWN720904 LWN786438 LWN786440 LWN851974 LWN851976 LWN917510 LWN917512 LWN983046 LWN983048 LXA8:LXB8 LXA65544:LXB65544 LXA131080:LXB131080 LXA196616:LXB196616 LXA262152:LXB262152 LXA327688:LXB327688 LXA393224:LXB393224 LXA458760:LXB458760 LXA524296:LXB524296 LXA589832:LXB589832 LXA655368:LXB655368 LXA720904:LXB720904 LXA786440:LXB786440 LXA851976:LXB851976 LXA917512:LXB917512 LXA983048:LXB983048 MFQ5:MGB7 MFQ65541:MGB65543 MFQ131077:MGB131079 MFQ196613:MGB196615 MFQ262149:MGB262151 MFQ327685:MGB327687 MFQ393221:MGB393223 MFQ458757:MGB458759 MFQ524293:MGB524295 MFQ589829:MGB589831 MFQ655365:MGB655367 MFQ720901:MGB720903 MFQ786437:MGB786439 MFQ851973:MGB851975 MFQ917509:MGB917511 MFQ983045:MGB983047 MGJ6 MGJ8 MGJ65542 MGJ65544 MGJ131078 MGJ131080 MGJ196614 MGJ196616 MGJ262150 MGJ262152 MGJ327686 MGJ327688 MGJ393222 MGJ393224 MGJ458758 MGJ458760 MGJ524294 MGJ524296 MGJ589830 MGJ589832 MGJ655366 MGJ655368 MGJ720902 MGJ720904 MGJ786438 MGJ786440 MGJ851974 MGJ851976 MGJ917510 MGJ917512 MGJ983046 MGJ983048 MGW8:MGX8 MGW65544:MGX65544 MGW131080:MGX131080 MGW196616:MGX196616 MGW262152:MGX262152 MGW327688:MGX327688 MGW393224:MGX393224 MGW458760:MGX458760 MGW524296:MGX524296 MGW589832:MGX589832 MGW655368:MGX655368 MGW720904:MGX720904 MGW786440:MGX786440 MGW851976:MGX851976 MGW917512:MGX917512 MGW983048:MGX983048 MPM5:MPX7 MPM65541:MPX65543 MPM131077:MPX131079 MPM196613:MPX196615 MPM262149:MPX262151 MPM327685:MPX327687 MPM393221:MPX393223 MPM458757:MPX458759 MPM524293:MPX524295 MPM589829:MPX589831 MPM655365:MPX655367 MPM720901:MPX720903 MPM786437:MPX786439 MPM851973:MPX851975 MPM917509:MPX917511 MPM983045:MPX983047 MQF6 MQF8 MQF65542 MQF65544 MQF131078 MQF131080 MQF196614 MQF196616 MQF262150 MQF262152 MQF327686 MQF327688 MQF393222 MQF393224 MQF458758 MQF458760 MQF524294 MQF524296 MQF589830 MQF589832 MQF655366 MQF655368 MQF720902 MQF720904 MQF786438 MQF786440 MQF851974 MQF851976 MQF917510 MQF917512 MQF983046 MQF983048 MQS8:MQT8 MQS65544:MQT65544 MQS131080:MQT131080 MQS196616:MQT196616 MQS262152:MQT262152 MQS327688:MQT327688 MQS393224:MQT393224 MQS458760:MQT458760 MQS524296:MQT524296 MQS589832:MQT589832 MQS655368:MQT655368 MQS720904:MQT720904 MQS786440:MQT786440 MQS851976:MQT851976 MQS917512:MQT917512 MQS983048:MQT983048 MZI5:MZT7 MZI65541:MZT65543 MZI131077:MZT131079 MZI196613:MZT196615 MZI262149:MZT262151 MZI327685:MZT327687 MZI393221:MZT393223 MZI458757:MZT458759 MZI524293:MZT524295 MZI589829:MZT589831 MZI655365:MZT655367 MZI720901:MZT720903 MZI786437:MZT786439 MZI851973:MZT851975 MZI917509:MZT917511 MZI983045:MZT983047 NAB6 NAB8 NAB65542 NAB65544 NAB131078 NAB131080 NAB196614 NAB196616 NAB262150 NAB262152 NAB327686 NAB327688 NAB393222 NAB393224 NAB458758 NAB458760 NAB524294 NAB524296 NAB589830 NAB589832 NAB655366 NAB655368 NAB720902 NAB720904 NAB786438 NAB786440 NAB851974 NAB851976 NAB917510 NAB917512 NAB983046 NAB983048 NAO8:NAP8 NAO65544:NAP65544 NAO131080:NAP131080 NAO196616:NAP196616 NAO262152:NAP262152 NAO327688:NAP327688 NAO393224:NAP393224 NAO458760:NAP458760 NAO524296:NAP524296 NAO589832:NAP589832 NAO655368:NAP655368 NAO720904:NAP720904 NAO786440:NAP786440 NAO851976:NAP851976 NAO917512:NAP917512 NAO983048:NAP983048 NJE5:NJP7 NJE65541:NJP65543 NJE131077:NJP131079 NJE196613:NJP196615 NJE262149:NJP262151 NJE327685:NJP327687 NJE393221:NJP393223 NJE458757:NJP458759 NJE524293:NJP524295 NJE589829:NJP589831 NJE655365:NJP655367 NJE720901:NJP720903 NJE786437:NJP786439 NJE851973:NJP851975 NJE917509:NJP917511 NJE983045:NJP983047 NJX6 NJX8 NJX65542 NJX65544 NJX131078 NJX131080 NJX196614 NJX196616 NJX262150 NJX262152 NJX327686 NJX327688 NJX393222 NJX393224 NJX458758 NJX458760 NJX524294 NJX524296 NJX589830 NJX589832 NJX655366 NJX655368 NJX720902 NJX720904 NJX786438 NJX786440 NJX851974 NJX851976 NJX917510 NJX917512 NJX983046 NJX983048 NKK8:NKL8 NKK65544:NKL65544 NKK131080:NKL131080 NKK196616:NKL196616 NKK262152:NKL262152 NKK327688:NKL327688 NKK393224:NKL393224 NKK458760:NKL458760 NKK524296:NKL524296 NKK589832:NKL589832 NKK655368:NKL655368 NKK720904:NKL720904 NKK786440:NKL786440 NKK851976:NKL851976 NKK917512:NKL917512 NKK983048:NKL983048 NTA5:NTL7 NTA65541:NTL65543 NTA131077:NTL131079 NTA196613:NTL196615 NTA262149:NTL262151 NTA327685:NTL327687 NTA393221:NTL393223 NTA458757:NTL458759 NTA524293:NTL524295 NTA589829:NTL589831 NTA655365:NTL655367 NTA720901:NTL720903 NTA786437:NTL786439 NTA851973:NTL851975 NTA917509:NTL917511 NTA983045:NTL983047 NTT6 NTT8 NTT65542 NTT65544 NTT131078 NTT131080 NTT196614 NTT196616 NTT262150 NTT262152 NTT327686 NTT327688 NTT393222 NTT393224 NTT458758 NTT458760 NTT524294 NTT524296 NTT589830 NTT589832 NTT655366 NTT655368 NTT720902 NTT720904 NTT786438 NTT786440 NTT851974 NTT851976 NTT917510 NTT917512 NTT983046 NTT983048 NUG8:NUH8 NUG65544:NUH65544 NUG131080:NUH131080 NUG196616:NUH196616 NUG262152:NUH262152 NUG327688:NUH327688 NUG393224:NUH393224 NUG458760:NUH458760 NUG524296:NUH524296 NUG589832:NUH589832 NUG655368:NUH655368 NUG720904:NUH720904 NUG786440:NUH786440 NUG851976:NUH851976 NUG917512:NUH917512 NUG983048:NUH983048 OCW5:ODH7 OCW65541:ODH65543 OCW131077:ODH131079 OCW196613:ODH196615 OCW262149:ODH262151 OCW327685:ODH327687 OCW393221:ODH393223 OCW458757:ODH458759 OCW524293:ODH524295 OCW589829:ODH589831 OCW655365:ODH655367 OCW720901:ODH720903 OCW786437:ODH786439 OCW851973:ODH851975 OCW917509:ODH917511 OCW983045:ODH983047 ODP6 ODP8 ODP65542 ODP65544 ODP131078 ODP131080 ODP196614 ODP196616 ODP262150 ODP262152 ODP327686 ODP327688 ODP393222 ODP393224 ODP458758 ODP458760 ODP524294 ODP524296 ODP589830 ODP589832 ODP655366 ODP655368 ODP720902 ODP720904 ODP786438 ODP786440 ODP851974 ODP851976 ODP917510 ODP917512 ODP983046 ODP983048 OEC8:OED8 OEC65544:OED65544 OEC131080:OED131080 OEC196616:OED196616 OEC262152:OED262152 OEC327688:OED327688 OEC393224:OED393224 OEC458760:OED458760 OEC524296:OED524296 OEC589832:OED589832 OEC655368:OED655368 OEC720904:OED720904 OEC786440:OED786440 OEC851976:OED851976 OEC917512:OED917512 OEC983048:OED983048 OMS5:OND7 OMS65541:OND65543 OMS131077:OND131079 OMS196613:OND196615 OMS262149:OND262151 OMS327685:OND327687 OMS393221:OND393223 OMS458757:OND458759 OMS524293:OND524295 OMS589829:OND589831 OMS655365:OND655367 OMS720901:OND720903 OMS786437:OND786439 OMS851973:OND851975 OMS917509:OND917511 OMS983045:OND983047 ONL6 ONL8 ONL65542 ONL65544 ONL131078 ONL131080 ONL196614 ONL196616 ONL262150 ONL262152 ONL327686 ONL327688 ONL393222 ONL393224 ONL458758 ONL458760 ONL524294 ONL524296 ONL589830 ONL589832 ONL655366 ONL655368 ONL720902 ONL720904 ONL786438 ONL786440 ONL851974 ONL851976 ONL917510 ONL917512 ONL983046 ONL983048 ONY8:ONZ8 ONY65544:ONZ65544 ONY131080:ONZ131080 ONY196616:ONZ196616 ONY262152:ONZ262152 ONY327688:ONZ327688 ONY393224:ONZ393224 ONY458760:ONZ458760 ONY524296:ONZ524296 ONY589832:ONZ589832 ONY655368:ONZ655368 ONY720904:ONZ720904 ONY786440:ONZ786440 ONY851976:ONZ851976 ONY917512:ONZ917512 ONY983048:ONZ983048 OWO5:OWZ7 OWO65541:OWZ65543 OWO131077:OWZ131079 OWO196613:OWZ196615 OWO262149:OWZ262151 OWO327685:OWZ327687 OWO393221:OWZ393223 OWO458757:OWZ458759 OWO524293:OWZ524295 OWO589829:OWZ589831 OWO655365:OWZ655367 OWO720901:OWZ720903 OWO786437:OWZ786439 OWO851973:OWZ851975 OWO917509:OWZ917511 OWO983045:OWZ983047 OXH6 OXH8 OXH65542 OXH65544 OXH131078 OXH131080 OXH196614 OXH196616 OXH262150 OXH262152 OXH327686 OXH327688 OXH393222 OXH393224 OXH458758 OXH458760 OXH524294 OXH524296 OXH589830 OXH589832 OXH655366 OXH655368 OXH720902 OXH720904 OXH786438 OXH786440 OXH851974 OXH851976 OXH917510 OXH917512 OXH983046 OXH983048 OXU8:OXV8 OXU65544:OXV65544 OXU131080:OXV131080 OXU196616:OXV196616 OXU262152:OXV262152 OXU327688:OXV327688 OXU393224:OXV393224 OXU458760:OXV458760 OXU524296:OXV524296 OXU589832:OXV589832 OXU655368:OXV655368 OXU720904:OXV720904 OXU786440:OXV786440 OXU851976:OXV851976 OXU917512:OXV917512 OXU983048:OXV983048 PGK5:PGV7 PGK65541:PGV65543 PGK131077:PGV131079 PGK196613:PGV196615 PGK262149:PGV262151 PGK327685:PGV327687 PGK393221:PGV393223 PGK458757:PGV458759 PGK524293:PGV524295 PGK589829:PGV589831 PGK655365:PGV655367 PGK720901:PGV720903 PGK786437:PGV786439 PGK851973:PGV851975 PGK917509:PGV917511 PGK983045:PGV983047 PHD6 PHD8 PHD65542 PHD65544 PHD131078 PHD131080 PHD196614 PHD196616 PHD262150 PHD262152 PHD327686 PHD327688 PHD393222 PHD393224 PHD458758 PHD458760 PHD524294 PHD524296 PHD589830 PHD589832 PHD655366 PHD655368 PHD720902 PHD720904 PHD786438 PHD786440 PHD851974 PHD851976 PHD917510 PHD917512 PHD983046 PHD983048 PHQ8:PHR8 PHQ65544:PHR65544 PHQ131080:PHR131080 PHQ196616:PHR196616 PHQ262152:PHR262152 PHQ327688:PHR327688 PHQ393224:PHR393224 PHQ458760:PHR458760 PHQ524296:PHR524296 PHQ589832:PHR589832 PHQ655368:PHR655368 PHQ720904:PHR720904 PHQ786440:PHR786440 PHQ851976:PHR851976 PHQ917512:PHR917512 PHQ983048:PHR983048 PQG5:PQR7 PQG65541:PQR65543 PQG131077:PQR131079 PQG196613:PQR196615 PQG262149:PQR262151 PQG327685:PQR327687 PQG393221:PQR393223 PQG458757:PQR458759 PQG524293:PQR524295 PQG589829:PQR589831 PQG655365:PQR655367 PQG720901:PQR720903 PQG786437:PQR786439 PQG851973:PQR851975 PQG917509:PQR917511 PQG983045:PQR983047 PQZ6 PQZ8 PQZ65542 PQZ65544 PQZ131078 PQZ131080 PQZ196614 PQZ196616 PQZ262150 PQZ262152 PQZ327686 PQZ327688 PQZ393222 PQZ393224 PQZ458758 PQZ458760 PQZ524294 PQZ524296 PQZ589830 PQZ589832 PQZ655366 PQZ655368 PQZ720902 PQZ720904 PQZ786438 PQZ786440 PQZ851974 PQZ851976 PQZ917510 PQZ917512 PQZ983046 PQZ983048 PRM8:PRN8 PRM65544:PRN65544 PRM131080:PRN131080 PRM196616:PRN196616 PRM262152:PRN262152 PRM327688:PRN327688 PRM393224:PRN393224 PRM458760:PRN458760 PRM524296:PRN524296 PRM589832:PRN589832 PRM655368:PRN655368 PRM720904:PRN720904 PRM786440:PRN786440 PRM851976:PRN851976 PRM917512:PRN917512 PRM983048:PRN983048 QAC5:QAN7 QAC65541:QAN65543 QAC131077:QAN131079 QAC196613:QAN196615 QAC262149:QAN262151 QAC327685:QAN327687 QAC393221:QAN393223 QAC458757:QAN458759 QAC524293:QAN524295 QAC589829:QAN589831 QAC655365:QAN655367 QAC720901:QAN720903 QAC786437:QAN786439 QAC851973:QAN851975 QAC917509:QAN917511 QAC983045:QAN983047 QAV6 QAV8 QAV65542 QAV65544 QAV131078 QAV131080 QAV196614 QAV196616 QAV262150 QAV262152 QAV327686 QAV327688 QAV393222 QAV393224 QAV458758 QAV458760 QAV524294 QAV524296 QAV589830 QAV589832 QAV655366 QAV655368 QAV720902 QAV720904 QAV786438 QAV786440 QAV851974 QAV851976 QAV917510 QAV917512 QAV983046 QAV983048 QBI8:QBJ8 QBI65544:QBJ65544 QBI131080:QBJ131080 QBI196616:QBJ196616 QBI262152:QBJ262152 QBI327688:QBJ327688 QBI393224:QBJ393224 QBI458760:QBJ458760 QBI524296:QBJ524296 QBI589832:QBJ589832 QBI655368:QBJ655368 QBI720904:QBJ720904 QBI786440:QBJ786440 QBI851976:QBJ851976 QBI917512:QBJ917512 QBI983048:QBJ983048 QJY5:QKJ7 QJY65541:QKJ65543 QJY131077:QKJ131079 QJY196613:QKJ196615 QJY262149:QKJ262151 QJY327685:QKJ327687 QJY393221:QKJ393223 QJY458757:QKJ458759 QJY524293:QKJ524295 QJY589829:QKJ589831 QJY655365:QKJ655367 QJY720901:QKJ720903 QJY786437:QKJ786439 QJY851973:QKJ851975 QJY917509:QKJ917511 QJY983045:QKJ983047 QKR6 QKR8 QKR65542 QKR65544 QKR131078 QKR131080 QKR196614 QKR196616 QKR262150 QKR262152 QKR327686 QKR327688 QKR393222 QKR393224 QKR458758 QKR458760 QKR524294 QKR524296 QKR589830 QKR589832 QKR655366 QKR655368 QKR720902 QKR720904 QKR786438 QKR786440 QKR851974 QKR851976 QKR917510 QKR917512 QKR983046 QKR983048 QLE8:QLF8 QLE65544:QLF65544 QLE131080:QLF131080 QLE196616:QLF196616 QLE262152:QLF262152 QLE327688:QLF327688 QLE393224:QLF393224 QLE458760:QLF458760 QLE524296:QLF524296 QLE589832:QLF589832 QLE655368:QLF655368 QLE720904:QLF720904 QLE786440:QLF786440 QLE851976:QLF851976 QLE917512:QLF917512 QLE983048:QLF983048 QTU5:QUF7 QTU65541:QUF65543 QTU131077:QUF131079 QTU196613:QUF196615 QTU262149:QUF262151 QTU327685:QUF327687 QTU393221:QUF393223 QTU458757:QUF458759 QTU524293:QUF524295 QTU589829:QUF589831 QTU655365:QUF655367 QTU720901:QUF720903 QTU786437:QUF786439 QTU851973:QUF851975 QTU917509:QUF917511 QTU983045:QUF983047 QUN6 QUN8 QUN65542 QUN65544 QUN131078 QUN131080 QUN196614 QUN196616 QUN262150 QUN262152 QUN327686 QUN327688 QUN393222 QUN393224 QUN458758 QUN458760 QUN524294 QUN524296 QUN589830 QUN589832 QUN655366 QUN655368 QUN720902 QUN720904 QUN786438 QUN786440 QUN851974 QUN851976 QUN917510 QUN917512 QUN983046 QUN983048 QVA8:QVB8 QVA65544:QVB65544 QVA131080:QVB131080 QVA196616:QVB196616 QVA262152:QVB262152 QVA327688:QVB327688 QVA393224:QVB393224 QVA458760:QVB458760 QVA524296:QVB524296 QVA589832:QVB589832 QVA655368:QVB655368 QVA720904:QVB720904 QVA786440:QVB786440 QVA851976:QVB851976 QVA917512:QVB917512 QVA983048:QVB983048 RDQ5:REB7 RDQ65541:REB65543 RDQ131077:REB131079 RDQ196613:REB196615 RDQ262149:REB262151 RDQ327685:REB327687 RDQ393221:REB393223 RDQ458757:REB458759 RDQ524293:REB524295 RDQ589829:REB589831 RDQ655365:REB655367 RDQ720901:REB720903 RDQ786437:REB786439 RDQ851973:REB851975 RDQ917509:REB917511 RDQ983045:REB983047 REJ6 REJ8 REJ65542 REJ65544 REJ131078 REJ131080 REJ196614 REJ196616 REJ262150 REJ262152 REJ327686 REJ327688 REJ393222 REJ393224 REJ458758 REJ458760 REJ524294 REJ524296 REJ589830 REJ589832 REJ655366 REJ655368 REJ720902 REJ720904 REJ786438 REJ786440 REJ851974 REJ851976 REJ917510 REJ917512 REJ983046 REJ983048 REW8:REX8 REW65544:REX65544 REW131080:REX131080 REW196616:REX196616 REW262152:REX262152 REW327688:REX327688 REW393224:REX393224 REW458760:REX458760 REW524296:REX524296 REW589832:REX589832 REW655368:REX655368 REW720904:REX720904 REW786440:REX786440 REW851976:REX851976 REW917512:REX917512 REW983048:REX983048 RNM5:RNX7 RNM65541:RNX65543 RNM131077:RNX131079 RNM196613:RNX196615 RNM262149:RNX262151 RNM327685:RNX327687 RNM393221:RNX393223 RNM458757:RNX458759 RNM524293:RNX524295 RNM589829:RNX589831 RNM655365:RNX655367 RNM720901:RNX720903 RNM786437:RNX786439 RNM851973:RNX851975 RNM917509:RNX917511 RNM983045:RNX983047 ROF6 ROF8 ROF65542 ROF65544 ROF131078 ROF131080 ROF196614 ROF196616 ROF262150 ROF262152 ROF327686 ROF327688 ROF393222 ROF393224 ROF458758 ROF458760 ROF524294 ROF524296 ROF589830 ROF589832 ROF655366 ROF655368 ROF720902 ROF720904 ROF786438 ROF786440 ROF851974 ROF851976 ROF917510 ROF917512 ROF983046 ROF983048 ROS8:ROT8 ROS65544:ROT65544 ROS131080:ROT131080 ROS196616:ROT196616 ROS262152:ROT262152 ROS327688:ROT327688 ROS393224:ROT393224 ROS458760:ROT458760 ROS524296:ROT524296 ROS589832:ROT589832 ROS655368:ROT655368 ROS720904:ROT720904 ROS786440:ROT786440 ROS851976:ROT851976 ROS917512:ROT917512 ROS983048:ROT983048 RXI5:RXT7 RXI65541:RXT65543 RXI131077:RXT131079 RXI196613:RXT196615 RXI262149:RXT262151 RXI327685:RXT327687 RXI393221:RXT393223 RXI458757:RXT458759 RXI524293:RXT524295 RXI589829:RXT589831 RXI655365:RXT655367 RXI720901:RXT720903 RXI786437:RXT786439 RXI851973:RXT851975 RXI917509:RXT917511 RXI983045:RXT983047 RYB6 RYB8 RYB65542 RYB65544 RYB131078 RYB131080 RYB196614 RYB196616 RYB262150 RYB262152 RYB327686 RYB327688 RYB393222 RYB393224 RYB458758 RYB458760 RYB524294 RYB524296 RYB589830 RYB589832 RYB655366 RYB655368 RYB720902 RYB720904 RYB786438 RYB786440 RYB851974 RYB851976 RYB917510 RYB917512 RYB983046 RYB983048 RYO8:RYP8 RYO65544:RYP65544 RYO131080:RYP131080 RYO196616:RYP196616 RYO262152:RYP262152 RYO327688:RYP327688 RYO393224:RYP393224 RYO458760:RYP458760 RYO524296:RYP524296 RYO589832:RYP589832 RYO655368:RYP655368 RYO720904:RYP720904 RYO786440:RYP786440 RYO851976:RYP851976 RYO917512:RYP917512 RYO983048:RYP983048 SHE5:SHP7 SHE65541:SHP65543 SHE131077:SHP131079 SHE196613:SHP196615 SHE262149:SHP262151 SHE327685:SHP327687 SHE393221:SHP393223 SHE458757:SHP458759 SHE524293:SHP524295 SHE589829:SHP589831 SHE655365:SHP655367 SHE720901:SHP720903 SHE786437:SHP786439 SHE851973:SHP851975 SHE917509:SHP917511 SHE983045:SHP983047 SHX6 SHX8 SHX65542 SHX65544 SHX131078 SHX131080 SHX196614 SHX196616 SHX262150 SHX262152 SHX327686 SHX327688 SHX393222 SHX393224 SHX458758 SHX458760 SHX524294 SHX524296 SHX589830 SHX589832 SHX655366 SHX655368 SHX720902 SHX720904 SHX786438 SHX786440 SHX851974 SHX851976 SHX917510 SHX917512 SHX983046 SHX983048 SIK8:SIL8 SIK65544:SIL65544 SIK131080:SIL131080 SIK196616:SIL196616 SIK262152:SIL262152 SIK327688:SIL327688 SIK393224:SIL393224 SIK458760:SIL458760 SIK524296:SIL524296 SIK589832:SIL589832 SIK655368:SIL655368 SIK720904:SIL720904 SIK786440:SIL786440 SIK851976:SIL851976 SIK917512:SIL917512 SIK983048:SIL983048 SRA5:SRL7 SRA65541:SRL65543 SRA131077:SRL131079 SRA196613:SRL196615 SRA262149:SRL262151 SRA327685:SRL327687 SRA393221:SRL393223 SRA458757:SRL458759 SRA524293:SRL524295 SRA589829:SRL589831 SRA655365:SRL655367 SRA720901:SRL720903 SRA786437:SRL786439 SRA851973:SRL851975 SRA917509:SRL917511 SRA983045:SRL983047 SRT6 SRT8 SRT65542 SRT65544 SRT131078 SRT131080 SRT196614 SRT196616 SRT262150 SRT262152 SRT327686 SRT327688 SRT393222 SRT393224 SRT458758 SRT458760 SRT524294 SRT524296 SRT589830 SRT589832 SRT655366 SRT655368 SRT720902 SRT720904 SRT786438 SRT786440 SRT851974 SRT851976 SRT917510 SRT917512 SRT983046 SRT983048 SSG8:SSH8 SSG65544:SSH65544 SSG131080:SSH131080 SSG196616:SSH196616 SSG262152:SSH262152 SSG327688:SSH327688 SSG393224:SSH393224 SSG458760:SSH458760 SSG524296:SSH524296 SSG589832:SSH589832 SSG655368:SSH655368 SSG720904:SSH720904 SSG786440:SSH786440 SSG851976:SSH851976 SSG917512:SSH917512 SSG983048:SSH983048 TAW5:TBH7 TAW65541:TBH65543 TAW131077:TBH131079 TAW196613:TBH196615 TAW262149:TBH262151 TAW327685:TBH327687 TAW393221:TBH393223 TAW458757:TBH458759 TAW524293:TBH524295 TAW589829:TBH589831 TAW655365:TBH655367 TAW720901:TBH720903 TAW786437:TBH786439 TAW851973:TBH851975 TAW917509:TBH917511 TAW983045:TBH983047 TBP6 TBP8 TBP65542 TBP65544 TBP131078 TBP131080 TBP196614 TBP196616 TBP262150 TBP262152 TBP327686 TBP327688 TBP393222 TBP393224 TBP458758 TBP458760 TBP524294 TBP524296 TBP589830 TBP589832 TBP655366 TBP655368 TBP720902 TBP720904 TBP786438 TBP786440 TBP851974 TBP851976 TBP917510 TBP917512 TBP983046 TBP983048 TCC8:TCD8 TCC65544:TCD65544 TCC131080:TCD131080 TCC196616:TCD196616 TCC262152:TCD262152 TCC327688:TCD327688 TCC393224:TCD393224 TCC458760:TCD458760 TCC524296:TCD524296 TCC589832:TCD589832 TCC655368:TCD655368 TCC720904:TCD720904 TCC786440:TCD786440 TCC851976:TCD851976 TCC917512:TCD917512 TCC983048:TCD983048 TKS5:TLD7 TKS65541:TLD65543 TKS131077:TLD131079 TKS196613:TLD196615 TKS262149:TLD262151 TKS327685:TLD327687 TKS393221:TLD393223 TKS458757:TLD458759 TKS524293:TLD524295 TKS589829:TLD589831 TKS655365:TLD655367 TKS720901:TLD720903 TKS786437:TLD786439 TKS851973:TLD851975 TKS917509:TLD917511 TKS983045:TLD983047 TLL6 TLL8 TLL65542 TLL65544 TLL131078 TLL131080 TLL196614 TLL196616 TLL262150 TLL262152 TLL327686 TLL327688 TLL393222 TLL393224 TLL458758 TLL458760 TLL524294 TLL524296 TLL589830 TLL589832 TLL655366 TLL655368 TLL720902 TLL720904 TLL786438 TLL786440 TLL851974 TLL851976 TLL917510 TLL917512 TLL983046 TLL983048 TLY8:TLZ8 TLY65544:TLZ65544 TLY131080:TLZ131080 TLY196616:TLZ196616 TLY262152:TLZ262152 TLY327688:TLZ327688 TLY393224:TLZ393224 TLY458760:TLZ458760 TLY524296:TLZ524296 TLY589832:TLZ589832 TLY655368:TLZ655368 TLY720904:TLZ720904 TLY786440:TLZ786440 TLY851976:TLZ851976 TLY917512:TLZ917512 TLY983048:TLZ983048 TUO5:TUZ7 TUO65541:TUZ65543 TUO131077:TUZ131079 TUO196613:TUZ196615 TUO262149:TUZ262151 TUO327685:TUZ327687 TUO393221:TUZ393223 TUO458757:TUZ458759 TUO524293:TUZ524295 TUO589829:TUZ589831 TUO655365:TUZ655367 TUO720901:TUZ720903 TUO786437:TUZ786439 TUO851973:TUZ851975 TUO917509:TUZ917511 TUO983045:TUZ983047 TVH6 TVH8 TVH65542 TVH65544 TVH131078 TVH131080 TVH196614 TVH196616 TVH262150 TVH262152 TVH327686 TVH327688 TVH393222 TVH393224 TVH458758 TVH458760 TVH524294 TVH524296 TVH589830 TVH589832 TVH655366 TVH655368 TVH720902 TVH720904 TVH786438 TVH786440 TVH851974 TVH851976 TVH917510 TVH917512 TVH983046 TVH983048 TVU8:TVV8 TVU65544:TVV65544 TVU131080:TVV131080 TVU196616:TVV196616 TVU262152:TVV262152 TVU327688:TVV327688 TVU393224:TVV393224 TVU458760:TVV458760 TVU524296:TVV524296 TVU589832:TVV589832 TVU655368:TVV655368 TVU720904:TVV720904 TVU786440:TVV786440 TVU851976:TVV851976 TVU917512:TVV917512 TVU983048:TVV983048 UEK5:UEV7 UEK65541:UEV65543 UEK131077:UEV131079 UEK196613:UEV196615 UEK262149:UEV262151 UEK327685:UEV327687 UEK393221:UEV393223 UEK458757:UEV458759 UEK524293:UEV524295 UEK589829:UEV589831 UEK655365:UEV655367 UEK720901:UEV720903 UEK786437:UEV786439 UEK851973:UEV851975 UEK917509:UEV917511 UEK983045:UEV983047 UFD6 UFD8 UFD65542 UFD65544 UFD131078 UFD131080 UFD196614 UFD196616 UFD262150 UFD262152 UFD327686 UFD327688 UFD393222 UFD393224 UFD458758 UFD458760 UFD524294 UFD524296 UFD589830 UFD589832 UFD655366 UFD655368 UFD720902 UFD720904 UFD786438 UFD786440 UFD851974 UFD851976 UFD917510 UFD917512 UFD983046 UFD983048 UFQ8:UFR8 UFQ65544:UFR65544 UFQ131080:UFR131080 UFQ196616:UFR196616 UFQ262152:UFR262152 UFQ327688:UFR327688 UFQ393224:UFR393224 UFQ458760:UFR458760 UFQ524296:UFR524296 UFQ589832:UFR589832 UFQ655368:UFR655368 UFQ720904:UFR720904 UFQ786440:UFR786440 UFQ851976:UFR851976 UFQ917512:UFR917512 UFQ983048:UFR983048 UOG5:UOR7 UOG65541:UOR65543 UOG131077:UOR131079 UOG196613:UOR196615 UOG262149:UOR262151 UOG327685:UOR327687 UOG393221:UOR393223 UOG458757:UOR458759 UOG524293:UOR524295 UOG589829:UOR589831 UOG655365:UOR655367 UOG720901:UOR720903 UOG786437:UOR786439 UOG851973:UOR851975 UOG917509:UOR917511 UOG983045:UOR983047 UOZ6 UOZ8 UOZ65542 UOZ65544 UOZ131078 UOZ131080 UOZ196614 UOZ196616 UOZ262150 UOZ262152 UOZ327686 UOZ327688 UOZ393222 UOZ393224 UOZ458758 UOZ458760 UOZ524294 UOZ524296 UOZ589830 UOZ589832 UOZ655366 UOZ655368 UOZ720902 UOZ720904 UOZ786438 UOZ786440 UOZ851974 UOZ851976 UOZ917510 UOZ917512 UOZ983046 UOZ983048 UPM8:UPN8 UPM65544:UPN65544 UPM131080:UPN131080 UPM196616:UPN196616 UPM262152:UPN262152 UPM327688:UPN327688 UPM393224:UPN393224 UPM458760:UPN458760 UPM524296:UPN524296 UPM589832:UPN589832 UPM655368:UPN655368 UPM720904:UPN720904 UPM786440:UPN786440 UPM851976:UPN851976 UPM917512:UPN917512 UPM983048:UPN983048 UYC5:UYN7 UYC65541:UYN65543 UYC131077:UYN131079 UYC196613:UYN196615 UYC262149:UYN262151 UYC327685:UYN327687 UYC393221:UYN393223 UYC458757:UYN458759 UYC524293:UYN524295 UYC589829:UYN589831 UYC655365:UYN655367 UYC720901:UYN720903 UYC786437:UYN786439 UYC851973:UYN851975 UYC917509:UYN917511 UYC983045:UYN983047 UYV6 UYV8 UYV65542 UYV65544 UYV131078 UYV131080 UYV196614 UYV196616 UYV262150 UYV262152 UYV327686 UYV327688 UYV393222 UYV393224 UYV458758 UYV458760 UYV524294 UYV524296 UYV589830 UYV589832 UYV655366 UYV655368 UYV720902 UYV720904 UYV786438 UYV786440 UYV851974 UYV851976 UYV917510 UYV917512 UYV983046 UYV983048 UZI8:UZJ8 UZI65544:UZJ65544 UZI131080:UZJ131080 UZI196616:UZJ196616 UZI262152:UZJ262152 UZI327688:UZJ327688 UZI393224:UZJ393224 UZI458760:UZJ458760 UZI524296:UZJ524296 UZI589832:UZJ589832 UZI655368:UZJ655368 UZI720904:UZJ720904 UZI786440:UZJ786440 UZI851976:UZJ851976 UZI917512:UZJ917512 UZI983048:UZJ983048 VHY5:VIJ7 VHY65541:VIJ65543 VHY131077:VIJ131079 VHY196613:VIJ196615 VHY262149:VIJ262151 VHY327685:VIJ327687 VHY393221:VIJ393223 VHY458757:VIJ458759 VHY524293:VIJ524295 VHY589829:VIJ589831 VHY655365:VIJ655367 VHY720901:VIJ720903 VHY786437:VIJ786439 VHY851973:VIJ851975 VHY917509:VIJ917511 VHY983045:VIJ983047 VIR6 VIR8 VIR65542 VIR65544 VIR131078 VIR131080 VIR196614 VIR196616 VIR262150 VIR262152 VIR327686 VIR327688 VIR393222 VIR393224 VIR458758 VIR458760 VIR524294 VIR524296 VIR589830 VIR589832 VIR655366 VIR655368 VIR720902 VIR720904 VIR786438 VIR786440 VIR851974 VIR851976 VIR917510 VIR917512 VIR983046 VIR983048 VJE8:VJF8 VJE65544:VJF65544 VJE131080:VJF131080 VJE196616:VJF196616 VJE262152:VJF262152 VJE327688:VJF327688 VJE393224:VJF393224 VJE458760:VJF458760 VJE524296:VJF524296 VJE589832:VJF589832 VJE655368:VJF655368 VJE720904:VJF720904 VJE786440:VJF786440 VJE851976:VJF851976 VJE917512:VJF917512 VJE983048:VJF983048 VRU5:VSF7 VRU65541:VSF65543 VRU131077:VSF131079 VRU196613:VSF196615 VRU262149:VSF262151 VRU327685:VSF327687 VRU393221:VSF393223 VRU458757:VSF458759 VRU524293:VSF524295 VRU589829:VSF589831 VRU655365:VSF655367 VRU720901:VSF720903 VRU786437:VSF786439 VRU851973:VSF851975 VRU917509:VSF917511 VRU983045:VSF983047 VSN6 VSN8 VSN65542 VSN65544 VSN131078 VSN131080 VSN196614 VSN196616 VSN262150 VSN262152 VSN327686 VSN327688 VSN393222 VSN393224 VSN458758 VSN458760 VSN524294 VSN524296 VSN589830 VSN589832 VSN655366 VSN655368 VSN720902 VSN720904 VSN786438 VSN786440 VSN851974 VSN851976 VSN917510 VSN917512 VSN983046 VSN983048 VTA8:VTB8 VTA65544:VTB65544 VTA131080:VTB131080 VTA196616:VTB196616 VTA262152:VTB262152 VTA327688:VTB327688 VTA393224:VTB393224 VTA458760:VTB458760 VTA524296:VTB524296 VTA589832:VTB589832 VTA655368:VTB655368 VTA720904:VTB720904 VTA786440:VTB786440 VTA851976:VTB851976 VTA917512:VTB917512 VTA983048:VTB983048 WBQ5:WCB7 WBQ65541:WCB65543 WBQ131077:WCB131079 WBQ196613:WCB196615 WBQ262149:WCB262151 WBQ327685:WCB327687 WBQ393221:WCB393223 WBQ458757:WCB458759 WBQ524293:WCB524295 WBQ589829:WCB589831 WBQ655365:WCB655367 WBQ720901:WCB720903 WBQ786437:WCB786439 WBQ851973:WCB851975 WBQ917509:WCB917511 WBQ983045:WCB983047 WCJ6 WCJ8 WCJ65542 WCJ65544 WCJ131078 WCJ131080 WCJ196614 WCJ196616 WCJ262150 WCJ262152 WCJ327686 WCJ327688 WCJ393222 WCJ393224 WCJ458758 WCJ458760 WCJ524294 WCJ524296 WCJ589830 WCJ589832 WCJ655366 WCJ655368 WCJ720902 WCJ720904 WCJ786438 WCJ786440 WCJ851974 WCJ851976 WCJ917510 WCJ917512 WCJ983046 WCJ983048 WCW8:WCX8 WCW65544:WCX65544 WCW131080:WCX131080 WCW196616:WCX196616 WCW262152:WCX262152 WCW327688:WCX327688 WCW393224:WCX393224 WCW458760:WCX458760 WCW524296:WCX524296 WCW589832:WCX589832 WCW655368:WCX655368 WCW720904:WCX720904 WCW786440:WCX786440 WCW851976:WCX851976 WCW917512:WCX917512 WCW983048:WCX983048 WLM5:WLX7 WLM65541:WLX65543 WLM131077:WLX131079 WLM196613:WLX196615 WLM262149:WLX262151 WLM327685:WLX327687 WLM393221:WLX393223 WLM458757:WLX458759 WLM524293:WLX524295 WLM589829:WLX589831 WLM655365:WLX655367 WLM720901:WLX720903 WLM786437:WLX786439 WLM851973:WLX851975 WLM917509:WLX917511 WLM983045:WLX983047 WMF6 WMF8 WMF65542 WMF65544 WMF131078 WMF131080 WMF196614 WMF196616 WMF262150 WMF262152 WMF327686 WMF327688 WMF393222 WMF393224 WMF458758 WMF458760 WMF524294 WMF524296 WMF589830 WMF589832 WMF655366 WMF655368 WMF720902 WMF720904 WMF786438 WMF786440 WMF851974 WMF851976 WMF917510 WMF917512 WMF983046 WMF983048 WMS8:WMT8 WMS65544:WMT65544 WMS131080:WMT131080 WMS196616:WMT196616 WMS262152:WMT262152 WMS327688:WMT327688 WMS393224:WMT393224 WMS458760:WMT458760 WMS524296:WMT524296 WMS589832:WMT589832 WMS655368:WMT655368 WMS720904:WMT720904 WMS786440:WMT786440 WMS851976:WMT851976 WMS917512:WMT917512 WMS983048:WMT983048 WVI5:WVT7 WVI65541:WVT65543 WVI131077:WVT131079 WVI196613:WVT196615 WVI262149:WVT262151 WVI327685:WVT327687 WVI393221:WVT393223 WVI458757:WVT458759 WVI524293:WVT524295 WVI589829:WVT589831 WVI655365:WVT655367 WVI720901:WVT720903 WVI786437:WVT786439 WVI851973:WVT851975 WVI917509:WVT917511 WVI983045:WVT983047 WWB6 WWB8 WWB65542 WWB65544 WWB131078 WWB131080 WWB196614 WWB196616 WWB262150 WWB262152 WWB327686 WWB327688 WWB393222 WWB393224 WWB458758 WWB458760 WWB524294 WWB524296 WWB589830 WWB589832 WWB655366 WWB655368 WWB720902 WWB720904 WWB786438 WWB786440 WWB851974 WWB851976 WWB917510 WWB917512 WWB983046 WWB983048 WWO8:WWP8 WWO65544:WWP65544 WWO131080:WWP131080 WWO196616:WWP196616 WWO262152:WWP262152 WWO327688:WWP327688 WWO393224:WWP393224 WWO458760:WWP458760 WWO524296:WWP524296 WWO589832:WWP589832 WWO655368:WWP655368 WWO720904:WWP720904 WWO786440:WWP786440 WWO851976:WWP851976 WWO917512:WWP917512 WWO983048:WWP983048" showDropDown="0" showInputMessage="1" showErrorMessage="1" allowBlank="1" imeMode="on"/>
  </dataValidations>
  <printOptions horizontalCentered="1" verticalCentered="1"/>
  <pageMargins left="0.2362204724409449" right="0.2362204724409449" top="0.7480314960629921" bottom="0.7480314960629921" header="0.3149606299212598" footer="0.3149606299212598"/>
  <pageSetup orientation="portrait" paperSize="9" scale="97" horizontalDpi="4294967293" verticalDpi="1200"/>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B16"/>
  <sheetViews>
    <sheetView zoomScale="88" workbookViewId="0">
      <selection activeCell="B20" sqref="B20"/>
    </sheetView>
  </sheetViews>
  <sheetFormatPr baseColWidth="10" defaultColWidth="10.83203125" defaultRowHeight="15"/>
  <cols>
    <col width="10.83203125" customWidth="1" style="197" min="1" max="16384"/>
  </cols>
  <sheetData>
    <row r="1">
      <c r="A1" s="197" t="inlineStr">
        <is>
          <t>収支計算シート使用の流れ</t>
        </is>
      </c>
    </row>
    <row r="2">
      <c r="A2" s="197" t="inlineStr">
        <is>
          <t>【査定開始前】</t>
        </is>
      </c>
    </row>
    <row r="3">
      <c r="A3" s="197" t="inlineStr">
        <is>
          <t>・必ず最新版を使用する</t>
        </is>
      </c>
    </row>
    <row r="5">
      <c r="A5" s="197" t="inlineStr">
        <is>
          <t>【買付通過後】</t>
        </is>
      </c>
    </row>
    <row r="6">
      <c r="A6" s="197" t="inlineStr">
        <is>
          <t>・江藤さんに案件のNo.を確認する</t>
        </is>
      </c>
    </row>
    <row r="7">
      <c r="A7" s="197" t="inlineStr">
        <is>
          <t>・エクセルのタイトルを下記のルールで変更する</t>
        </is>
      </c>
    </row>
    <row r="8">
      <c r="B8" s="197" t="inlineStr">
        <is>
          <t>数字は全て半角</t>
        </is>
      </c>
    </row>
    <row r="9">
      <c r="B9" s="197" t="inlineStr">
        <is>
          <t>市区町村から住所表記で最後まで記載</t>
        </is>
      </c>
    </row>
    <row r="10">
      <c r="B10" s="197" t="inlineStr">
        <is>
          <t>最後の日付はNoを割り振られた日</t>
        </is>
      </c>
    </row>
    <row r="11">
      <c r="A11" s="197" t="inlineStr">
        <is>
          <t>〈例〉</t>
        </is>
      </c>
    </row>
    <row r="12">
      <c r="A12" s="197" t="inlineStr">
        <is>
          <t>044.足立区大谷田1-10-7_転売用収支計算シート_(20241019)</t>
        </is>
      </c>
    </row>
    <row r="13">
      <c r="A13" s="197" t="inlineStr">
        <is>
          <t>・エクセルの「持ち物リスト」シートのB1のセルのNo.も記載</t>
        </is>
      </c>
    </row>
    <row r="14" ht="15" customHeight="1">
      <c r="A14" s="197" t="inlineStr">
        <is>
          <t>・Teams&gt;チーム&gt;フルコミ&gt;02-フルコミ検討資料&gt;20_収支計算シートにアップロードする。
以降はそこに置いてあるものを正とする。</t>
        </is>
      </c>
    </row>
    <row r="15">
      <c r="A15" s="197" t="inlineStr">
        <is>
          <t>(個人フォルダに置いてあるものは参考)</t>
        </is>
      </c>
    </row>
    <row r="16" ht="15" customHeight="1">
      <c r="A16" s="197" t="inlineStr">
        <is>
          <t>・Teams&gt;チーム&gt;フルコミ&gt;02-フルコミ検討資料&gt;売買予定表に必要事項を記載する。</t>
        </is>
      </c>
    </row>
  </sheetData>
  <pageMargins left="0.7" right="0.7" top="0.75" bottom="0.75" header="0.3" footer="0.3"/>
  <pageSetup orientation="portrait" paperSize="9" horizontalDpi="0" verticalDpi="0"/>
</worksheet>
</file>

<file path=xl/worksheets/sheet13.xml><?xml version="1.0" encoding="utf-8"?>
<worksheet xmlns="http://schemas.openxmlformats.org/spreadsheetml/2006/main">
  <sheetPr>
    <outlinePr summaryBelow="1" summaryRight="1"/>
    <pageSetUpPr/>
  </sheetPr>
  <dimension ref="A1:D11"/>
  <sheetViews>
    <sheetView workbookViewId="0">
      <selection activeCell="D11" sqref="D11"/>
    </sheetView>
  </sheetViews>
  <sheetFormatPr baseColWidth="10" defaultColWidth="8.83203125" defaultRowHeight="15"/>
  <cols>
    <col width="11" bestFit="1" customWidth="1" style="197" min="1" max="1"/>
    <col width="8" bestFit="1" customWidth="1" style="197" min="2" max="2"/>
    <col width="17.5" bestFit="1" customWidth="1" style="197" min="3" max="3"/>
    <col width="90.1640625" customWidth="1" style="197" min="4" max="4"/>
    <col width="8.83203125" customWidth="1" style="197" min="5" max="16384"/>
  </cols>
  <sheetData>
    <row r="1">
      <c r="A1" s="197" t="inlineStr">
        <is>
          <t>編集履歴</t>
        </is>
      </c>
    </row>
    <row r="2">
      <c r="A2" s="197" t="inlineStr">
        <is>
          <t>日時</t>
        </is>
      </c>
      <c r="B2" s="197" t="inlineStr">
        <is>
          <t>編集者</t>
        </is>
      </c>
      <c r="C2" s="197" t="inlineStr">
        <is>
          <t>ver</t>
        </is>
      </c>
      <c r="D2" s="197" t="inlineStr">
        <is>
          <t>内容</t>
        </is>
      </c>
    </row>
    <row r="3">
      <c r="A3" s="223" t="n">
        <v>45437</v>
      </c>
      <c r="B3" s="197" t="inlineStr">
        <is>
          <t>伊東</t>
        </is>
      </c>
      <c r="C3" s="197" t="inlineStr">
        <is>
          <t>共通化仕様ver3.0</t>
        </is>
      </c>
      <c r="D3" s="197" t="inlineStr">
        <is>
          <t>榎本さんのエクセルを改良</t>
        </is>
      </c>
    </row>
    <row r="4" ht="80" customHeight="1">
      <c r="A4" s="237" t="n">
        <v>45437</v>
      </c>
      <c r="B4" s="238" t="inlineStr">
        <is>
          <t>伊東</t>
        </is>
      </c>
      <c r="C4" s="238" t="inlineStr">
        <is>
          <t>共通化仕様ver3.1</t>
        </is>
      </c>
      <c r="D4" s="239" t="inlineStr">
        <is>
          <t>・②シート目の名称変更
・②シート目、G71&amp;H71に業務委託料の項目を追加
・②シート目H10の単位修正(円/坪→円)
・①物件情報入力シートC34に国交省HPのハイパーリンク追加。C35に国交省HPの確認についてのコメント追加。</t>
        </is>
      </c>
    </row>
    <row r="5" ht="32" customHeight="1">
      <c r="A5" s="237" t="n">
        <v>45451</v>
      </c>
      <c r="B5" s="238" t="inlineStr">
        <is>
          <t>伊東</t>
        </is>
      </c>
      <c r="C5" s="238" t="inlineStr">
        <is>
          <t>共通化仕様ver3.2</t>
        </is>
      </c>
      <c r="D5" s="240" t="inlineStr">
        <is>
          <t>入金予定日、支払い予定日の列をアップデート。
白抜きは自動入力。黄色タブは入力が無いとアラートが出るように変更。</t>
        </is>
      </c>
    </row>
    <row r="6" ht="32" customHeight="1">
      <c r="A6" s="237" t="n">
        <v>45452</v>
      </c>
      <c r="B6" s="238" t="inlineStr">
        <is>
          <t>伊東</t>
        </is>
      </c>
      <c r="C6" s="238" t="inlineStr">
        <is>
          <t>共通化仕様ver3.3</t>
        </is>
      </c>
      <c r="D6" s="240" t="inlineStr">
        <is>
          <t>・②シート目 B29,B30の関数を修正
・エクセルタイトルを修正</t>
        </is>
      </c>
    </row>
    <row r="7" ht="80" customHeight="1">
      <c r="A7" s="237" t="n">
        <v>45502</v>
      </c>
      <c r="B7" s="238" t="inlineStr">
        <is>
          <t>伊東</t>
        </is>
      </c>
      <c r="C7" s="238" t="inlineStr">
        <is>
          <t>共通化仕様ver3.4</t>
        </is>
      </c>
      <c r="D7" s="241" t="inlineStr">
        <is>
          <t>・固定資産税日割り計算の日数を365→366に変更
・建蔽率容積率を求めるリンクを追加
・年間固定資産税についてメモ書きに追加　　田舎の戸建5万円、都心の戸建10万円
・実勢価格係数　田舎1.1 中間1.5 都市2.0
・道路係数→容積率低減係数に変更。デフォルトで0.4を入れておく</t>
        </is>
      </c>
    </row>
    <row r="8" ht="96" customHeight="1">
      <c r="A8" s="237" t="n">
        <v>45660</v>
      </c>
      <c r="B8" s="238" t="inlineStr">
        <is>
          <t>伊東</t>
        </is>
      </c>
      <c r="C8" s="238" t="inlineStr">
        <is>
          <t>共通化仕様ver3.5</t>
        </is>
      </c>
      <c r="D8" s="240" t="inlineStr">
        <is>
          <t>・固定資産税日割り計算の日数を366→365に変更
・シート② M2セルの日付計算の引数を2026/1/1に変更
・シート①の件築年数(N,O列)を令和7年版にアップデート
・年間固定資産税は固定資産税路線価の2%をデフォルトと設定(土地1.4%＋建物(耐用年数オーバー)想定)
・相続税路線価入力欄にメモ書き追加　相続税路線価設定がない場合は固定資産税路線価÷0.7×0,8
・購入時仲介手数料についてメモ書き追加</t>
        </is>
      </c>
    </row>
    <row r="9" ht="64" customHeight="1">
      <c r="A9" s="237" t="n">
        <v>45761</v>
      </c>
      <c r="B9" s="238" t="inlineStr">
        <is>
          <t>伊東</t>
        </is>
      </c>
      <c r="C9" s="238" t="inlineStr">
        <is>
          <t>共通化仕様ver3.6</t>
        </is>
      </c>
      <c r="D9" s="240" t="inlineStr">
        <is>
          <t>・持ち物リストシートを追加
・取引台帳(購入時、売却時)シートを追加
・購入申込書シートを追加
・収支計算シートのルールを追加</t>
        </is>
      </c>
    </row>
    <row r="10" ht="32" customHeight="1">
      <c r="C10" s="238" t="inlineStr">
        <is>
          <t>共通化仕様ver3.7</t>
        </is>
      </c>
      <c r="D10" s="240" t="inlineStr">
        <is>
          <t>・業務委託料割合を入力できるように変更、シート② M69セルに追加
・シート② M2セルの日付計算の引数を2027/1/1に変更</t>
        </is>
      </c>
    </row>
    <row r="11" ht="48" customHeight="1">
      <c r="A11" s="237" t="n">
        <v>46074</v>
      </c>
      <c r="B11" s="238" t="inlineStr">
        <is>
          <t>伊東</t>
        </is>
      </c>
      <c r="C11" s="238" t="inlineStr">
        <is>
          <t>共通化仕様ver3.8</t>
        </is>
      </c>
      <c r="D11" s="240" t="inlineStr">
        <is>
          <t>・シート① 築年数のリストを2026年verに反映
・シート① C26セル相続税路線価については固定資産税から算出する式をデフォルトで入力、相続税路線価設定がある場合は手入力</t>
        </is>
      </c>
    </row>
  </sheetData>
  <pageMargins left="0.7" right="0.7" top="0.75" bottom="0.75" header="0.3" footer="0.3"/>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1997-07-02T03:22:35Z</dcterms:created>
  <dcterms:modified xmlns:dcterms="http://purl.org/dc/terms/" xmlns:xsi="http://www.w3.org/2001/XMLSchema-instance" xsi:type="dcterms:W3CDTF">2026-06-10T05:03:55Z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0x010100F6AE36244A1BCA4D9D24BDC1BC0F5B91</vt:lpwstr>
  </property>
  <property name="MediaServiceImageTags" fmtid="{D5CDD505-2E9C-101B-9397-08002B2CF9AE}" pid="3">
    <vt:lpwstr xmlns:vt="http://schemas.openxmlformats.org/officeDocument/2006/docPropsVTypes"/>
  </property>
</Properties>
</file>
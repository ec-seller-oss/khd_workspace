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諸費用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808080"/>
      <sz val="9"/>
    </font>
    <font>
      <name val="Yu Gothic"/>
      <b val="1"/>
      <sz val="10"/>
    </font>
    <font>
      <name val="Yu Gothic"/>
      <color rgb="000000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5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/>
      <right/>
      <top style="thin">
        <color rgb="00A0A0A0"/>
      </top>
      <bottom/>
      <diagonal/>
    </border>
    <border>
      <left/>
      <right style="thin">
        <color rgb="00A0A0A0"/>
      </right>
      <top style="thin">
        <color rgb="00A0A0A0"/>
      </top>
      <bottom/>
      <diagonal/>
    </border>
    <border>
      <left/>
      <right style="thin">
        <color rgb="00A0A0A0"/>
      </right>
      <top style="thin">
        <color rgb="00A0A0A0"/>
      </top>
      <bottom style="thin">
        <color rgb="00A0A0A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2" fillId="0" borderId="1" pivotButton="0" quotePrefix="0" xfId="0"/>
    <xf numFmtId="164" fontId="4" fillId="3" borderId="1" pivotButton="0" quotePrefix="0" xfId="0"/>
    <xf numFmtId="164" fontId="5" fillId="0" borderId="1" pivotButton="0" quotePrefix="0" xfId="0"/>
    <xf numFmtId="0" fontId="3" fillId="2" borderId="1" applyAlignment="1" pivotButton="0" quotePrefix="0" xfId="0">
      <alignment horizontal="center"/>
    </xf>
    <xf numFmtId="164" fontId="3" fillId="2" borderId="1" pivotButton="0" quotePrefix="0" xfId="0"/>
    <xf numFmtId="0" fontId="0" fillId="2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42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52" customWidth="1" min="4" max="4"/>
  </cols>
  <sheetData>
    <row r="2">
      <c r="B2" s="1" t="inlineStr">
        <is>
          <t>不動産購入 諸費用明細書</t>
        </is>
      </c>
    </row>
    <row r="3">
      <c r="B3" s="2" t="inlineStr">
        <is>
          <t>※青字＝入力セル（案件ごとに書き換え）／黒字＝自動計算。黄色セルは金額確定後に更新してください。単位：円</t>
        </is>
      </c>
    </row>
    <row r="4">
      <c r="B4" s="3" t="inlineStr">
        <is>
          <t>■ 案件情報</t>
        </is>
      </c>
    </row>
    <row r="5">
      <c r="B5" s="4" t="inlineStr">
        <is>
          <t>案件名</t>
        </is>
      </c>
      <c r="C5" s="5" t="inlineStr">
        <is>
          <t>盛岡市高松二丁目（アーバンキューブ＋花みずき貸家3棟）</t>
        </is>
      </c>
      <c r="D5" s="17" t="n"/>
    </row>
    <row r="6">
      <c r="B6" s="4" t="inlineStr">
        <is>
          <t>買主</t>
        </is>
      </c>
      <c r="C6" s="5" t="inlineStr">
        <is>
          <t>KIKUCHIホールディングス株式会社</t>
        </is>
      </c>
      <c r="D6" s="17" t="n"/>
    </row>
    <row r="7">
      <c r="B7" s="4" t="inlineStr">
        <is>
          <t>売主</t>
        </is>
      </c>
      <c r="C7" s="5" t="inlineStr">
        <is>
          <t>三浦様 ほか（売主2名）</t>
        </is>
      </c>
      <c r="D7" s="17" t="n"/>
    </row>
    <row r="8">
      <c r="B8" s="4" t="inlineStr">
        <is>
          <t>仲介</t>
        </is>
      </c>
      <c r="C8" s="5" t="inlineStr">
        <is>
          <t>不動産管理トラステン合同会社（阿部様）</t>
        </is>
      </c>
      <c r="D8" s="17" t="n"/>
    </row>
    <row r="9">
      <c r="B9" s="4" t="inlineStr">
        <is>
          <t>融資</t>
        </is>
      </c>
      <c r="C9" s="5" t="inlineStr">
        <is>
          <t>岩手銀行 花巻支店（西原様）／根抵当権 極度額60,000,000円</t>
        </is>
      </c>
      <c r="D9" s="17" t="n"/>
    </row>
    <row r="10">
      <c r="B10" s="4" t="inlineStr">
        <is>
          <t>契約日</t>
        </is>
      </c>
      <c r="C10" s="5" t="inlineStr">
        <is>
          <t>2026/7/31（金）午後（午前 現地確認）</t>
        </is>
      </c>
      <c r="D10" s="17" t="n"/>
    </row>
    <row r="11">
      <c r="B11" s="4" t="inlineStr">
        <is>
          <t>手付解除期日</t>
        </is>
      </c>
      <c r="C11" s="5" t="inlineStr">
        <is>
          <t>2026/8/7（金）</t>
        </is>
      </c>
      <c r="D11" s="17" t="n"/>
    </row>
    <row r="12">
      <c r="B12" s="4" t="inlineStr">
        <is>
          <t>決済日</t>
        </is>
      </c>
      <c r="C12" s="5" t="inlineStr">
        <is>
          <t>2026/8/14（金）立会い無し</t>
        </is>
      </c>
      <c r="D12" s="17" t="n"/>
    </row>
    <row r="14">
      <c r="B14" s="3" t="inlineStr">
        <is>
          <t>■ 基本数値（入力）</t>
        </is>
      </c>
    </row>
    <row r="15">
      <c r="B15" s="7" t="inlineStr">
        <is>
          <t>売買代金</t>
        </is>
      </c>
      <c r="C15" s="8" t="n">
        <v>37000000</v>
      </c>
      <c r="D15" s="9" t="inlineStr">
        <is>
          <t>買付・契約書ベース</t>
        </is>
      </c>
    </row>
    <row r="16">
      <c r="B16" s="7" t="inlineStr">
        <is>
          <t>うち建物価格（税抜）</t>
        </is>
      </c>
      <c r="C16" s="10" t="inlineStr"/>
      <c r="D16" s="9" t="inlineStr">
        <is>
          <t>消費税は税込総額で通す方針（按分交渉はこちらから持ち出さない）</t>
        </is>
      </c>
    </row>
    <row r="17">
      <c r="B17" s="7" t="inlineStr">
        <is>
          <t>建物消費税（10%）</t>
        </is>
      </c>
      <c r="C17" s="11">
        <f>IF(C16="","",C16*0.1)</f>
        <v/>
      </c>
      <c r="D17" s="9">
        <f>建物価格×10%。建物価格入力後に自動計算</f>
        <v/>
      </c>
    </row>
    <row r="18">
      <c r="B18" s="7" t="inlineStr">
        <is>
          <t>手付金</t>
        </is>
      </c>
      <c r="C18" s="8" t="n">
        <v>200000</v>
      </c>
      <c r="D18" s="9" t="inlineStr">
        <is>
          <t>各10万円×2契約(お借入内訳.xlsx 8/3版)。決済時に代金充当</t>
        </is>
      </c>
    </row>
    <row r="19">
      <c r="B19" s="7" t="inlineStr">
        <is>
          <t>借入額（融資実行額）</t>
        </is>
      </c>
      <c r="C19" s="8" t="n">
        <v>43200000</v>
      </c>
      <c r="D19" s="9" t="inlineStr">
        <is>
          <t>岩銀2本立て: ①アパート2,950万+②貸家1,370万。諸費用込み融資(変動2.75%・20年)</t>
        </is>
      </c>
    </row>
    <row r="21">
      <c r="B21" s="3" t="inlineStr">
        <is>
          <t>■ 諸費用明細</t>
        </is>
      </c>
    </row>
    <row r="22">
      <c r="B22" s="12" t="inlineStr">
        <is>
          <t>項目</t>
        </is>
      </c>
      <c r="C22" s="12" t="inlineStr">
        <is>
          <t>金額</t>
        </is>
      </c>
      <c r="D22" s="12" t="inlineStr">
        <is>
          <t>算定根拠・備考</t>
        </is>
      </c>
    </row>
    <row r="23">
      <c r="B23" s="7" t="inlineStr">
        <is>
          <t>仲介手数料（税込）</t>
        </is>
      </c>
      <c r="C23" s="8" t="n">
        <v>1321048</v>
      </c>
      <c r="D23" s="9" t="inlineStr">
        <is>
          <t>実額(お借入内訳): アパート862,499+貸家458,549</t>
        </is>
      </c>
    </row>
    <row r="24">
      <c r="B24" s="7" t="inlineStr">
        <is>
          <t>印紙代（売買契約書）</t>
        </is>
      </c>
      <c r="C24" s="8" t="n">
        <v>10000</v>
      </c>
      <c r="D24" s="9" t="inlineStr">
        <is>
          <t>1千万超〜5千万以下・軽減税率。電子契約なら0に修正</t>
        </is>
      </c>
    </row>
    <row r="25">
      <c r="B25" s="7" t="inlineStr">
        <is>
          <t>登記費用（所有権移転＋根抵当権設定 一式）</t>
        </is>
      </c>
      <c r="C25" s="8" t="n">
        <v>820000</v>
      </c>
      <c r="D25" s="9" t="inlineStr">
        <is>
          <t>お借入内訳の実額(アパート側計上)</t>
        </is>
      </c>
    </row>
    <row r="26">
      <c r="B26" s="7" t="inlineStr">
        <is>
          <t>印紙代（金銭消費貸借契約）</t>
        </is>
      </c>
      <c r="C26" s="8" t="n">
        <v>40000</v>
      </c>
      <c r="D26" s="9" t="inlineStr">
        <is>
          <t>岩銀提案書: 2契約×20,000円</t>
        </is>
      </c>
    </row>
    <row r="27">
      <c r="B27" s="7" t="inlineStr">
        <is>
          <t>銀行事務手数料・保証料</t>
        </is>
      </c>
      <c r="C27" s="8" t="n">
        <v>4278000</v>
      </c>
      <c r="D27" s="9" t="inlineStr">
        <is>
          <t>信用保証料概算: ①292.1万+②135.7万(岩手県信用保証協会)</t>
        </is>
      </c>
    </row>
    <row r="28">
      <c r="B28" s="7" t="inlineStr">
        <is>
          <t>火災保険料</t>
        </is>
      </c>
      <c r="C28" s="8" t="n">
        <v>99900</v>
      </c>
      <c r="D28" s="9" t="inlineStr">
        <is>
          <t>確定: アパート71,230+貸家28,670</t>
        </is>
      </c>
    </row>
    <row r="29">
      <c r="B29" s="7" t="inlineStr">
        <is>
          <t>固定資産税・都市計画税 精算金</t>
        </is>
      </c>
      <c r="C29" s="10" t="inlineStr"/>
      <c r="D29" s="9" t="inlineStr">
        <is>
          <t>決済日8/14起算の日割り。仲介の精算書で確定</t>
        </is>
      </c>
    </row>
    <row r="30">
      <c r="B30" s="7" t="inlineStr">
        <is>
          <t>東北電力 電柱敷地料 精算</t>
        </is>
      </c>
      <c r="C30" s="8" t="n">
        <v>0</v>
      </c>
      <c r="D30" s="9" t="inlineStr">
        <is>
          <t>少額のため日割精算しない場合が多い（阿部様回答）。発生時のみ入力</t>
        </is>
      </c>
    </row>
    <row r="31">
      <c r="B31" s="7" t="inlineStr">
        <is>
          <t>振込手数料・その他実費</t>
        </is>
      </c>
      <c r="C31" s="8" t="n">
        <v>60000</v>
      </c>
      <c r="D31" s="9" t="inlineStr">
        <is>
          <t>担保調査手数料55,000(岩銀)+振込等5,000</t>
        </is>
      </c>
    </row>
    <row r="32">
      <c r="B32" s="4" t="inlineStr">
        <is>
          <t>諸費用 合計</t>
        </is>
      </c>
      <c r="C32" s="13">
        <f>SUM(C23:C31)</f>
        <v/>
      </c>
      <c r="D32" s="14" t="n"/>
    </row>
    <row r="34">
      <c r="B34" s="3" t="inlineStr">
        <is>
          <t>■ 資金計画</t>
        </is>
      </c>
    </row>
    <row r="35">
      <c r="B35" s="15" t="inlineStr">
        <is>
          <t>総必要資金（売買代金＋諸費用）</t>
        </is>
      </c>
      <c r="C35" s="16">
        <f>C15+C32</f>
        <v/>
      </c>
      <c r="D35" s="9" t="inlineStr"/>
    </row>
    <row r="36">
      <c r="B36" s="15" t="inlineStr">
        <is>
          <t>借入額</t>
        </is>
      </c>
      <c r="C36" s="16">
        <f>C19</f>
        <v/>
      </c>
      <c r="D36" s="9" t="inlineStr"/>
    </row>
    <row r="37">
      <c r="B37" s="15" t="inlineStr">
        <is>
          <t>必要自己資金</t>
        </is>
      </c>
      <c r="C37" s="16">
        <f>C15+C32-C19</f>
        <v/>
      </c>
      <c r="D37" s="9" t="inlineStr">
        <is>
          <t>手付金は決済時に売買代金へ充当される前提</t>
        </is>
      </c>
    </row>
    <row r="39">
      <c r="B39" s="3" t="inlineStr">
        <is>
          <t>■ 参考：取得後に発生する費用（決済時不要）</t>
        </is>
      </c>
    </row>
    <row r="40">
      <c r="B40" s="7" t="inlineStr">
        <is>
          <t>不動産取得税</t>
        </is>
      </c>
      <c r="C40" s="10" t="inlineStr"/>
      <c r="D40" s="9" t="inlineStr">
        <is>
          <t>取得後6ヶ月〜1年程度で納税通知。評価額×3%（土地は評価額×1/2×3%）。評価額確定後入力</t>
        </is>
      </c>
    </row>
    <row r="42">
      <c r="B42" s="2" t="inlineStr">
        <is>
          <t>【転用方法】案件情報と青字セルを書き換えるだけで他案件に流用できます。数式（仲介手数料・合計・資金計画）は自動再計算されます。</t>
        </is>
      </c>
    </row>
  </sheetData>
  <mergeCells count="8">
    <mergeCell ref="C12:D12"/>
    <mergeCell ref="C6:D6"/>
    <mergeCell ref="C7:D7"/>
    <mergeCell ref="C10:D10"/>
    <mergeCell ref="C11:D11"/>
    <mergeCell ref="C5:D5"/>
    <mergeCell ref="C9:D9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2026-07-21T08:08:39Z</dcterms:created>
  <dcterms:modified xsi:type="dcterms:W3CDTF">2026-08-03T04:25:01Z</dcterms:modified>
</cp:coreProperties>
</file>